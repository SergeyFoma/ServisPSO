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xmlns:r="http://schemas.openxmlformats.org/officeDocument/2006/relationships" name="Лот 2" sheetId="1" state="hidden" r:id="rId1"/>
    <sheet xmlns:r="http://schemas.openxmlformats.org/officeDocument/2006/relationships" name="Справка ЦППД-1 октябрь" sheetId="2" state="visible" r:id="rId2"/>
  </sheets>
  <externalReferences>
    <externalReference xmlns:r="http://schemas.openxmlformats.org/officeDocument/2006/relationships" r:id="rId3"/>
  </externalReferences>
  <definedNames>
    <definedName name="_xlnm.Print_Titles" localSheetId="0">'Лот 2'!$16:$18</definedName>
    <definedName name="_xlnm.Print_Area" localSheetId="0">'Лот 2'!$A$1:$G$229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р_._-;\-* #,##0.00_р_._-;_-* &quot;-&quot;??_р_._-;_-@_-"/>
  </numFmts>
  <fonts count="1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color theme="1" tint="0.0499893185216834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color theme="1" tint="0.0499893185216834"/>
      <sz val="10"/>
    </font>
    <font>
      <name val="Arial Cyr"/>
      <charset val="204"/>
      <family val="2"/>
      <sz val="10"/>
    </font>
    <font>
      <name val="Arial"/>
      <charset val="204"/>
      <family val="2"/>
      <color theme="1"/>
      <sz val="12"/>
    </font>
    <font>
      <name val="Arial"/>
      <charset val="204"/>
      <family val="2"/>
      <color theme="1"/>
      <sz val="11"/>
    </font>
    <font>
      <name val="Arial"/>
      <charset val="204"/>
      <family val="2"/>
      <b val="1"/>
      <sz val="12"/>
    </font>
    <font>
      <name val="Times New Roman"/>
      <charset val="204"/>
      <family val="1"/>
      <sz val="8"/>
    </font>
    <font>
      <name val="Calibri"/>
      <family val="2"/>
      <color theme="1"/>
      <sz val="10"/>
      <scheme val="minor"/>
    </font>
    <font>
      <name val="Helv"/>
      <sz val="10"/>
    </font>
    <font>
      <name val="Courier"/>
      <sz val="10"/>
    </font>
    <font>
      <name val="FreeSetCTT"/>
      <sz val="10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0">
    <xf numFmtId="0" fontId="0" fillId="0" borderId="0"/>
    <xf numFmtId="0" fontId="2" fillId="0" borderId="0"/>
    <xf numFmtId="164" fontId="2" fillId="0" borderId="0"/>
    <xf numFmtId="0" fontId="2" fillId="0" borderId="0"/>
    <xf numFmtId="0" fontId="8" fillId="0" borderId="0"/>
    <xf numFmtId="164" fontId="2" fillId="0" borderId="0"/>
    <xf numFmtId="0" fontId="1" fillId="0" borderId="0"/>
    <xf numFmtId="0" fontId="1" fillId="0" borderId="0"/>
    <xf numFmtId="0" fontId="6" fillId="0" borderId="0" applyAlignment="1">
      <alignment vertical="top"/>
    </xf>
    <xf numFmtId="0" fontId="6" fillId="0" borderId="0"/>
    <xf numFmtId="43" fontId="6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Alignment="1">
      <alignment vertical="top"/>
    </xf>
    <xf numFmtId="0" fontId="6" fillId="0" borderId="0" applyAlignment="1">
      <alignment vertical="top"/>
    </xf>
    <xf numFmtId="0" fontId="6" fillId="0" borderId="0" applyAlignment="1">
      <alignment vertical="top"/>
    </xf>
    <xf numFmtId="0" fontId="6" fillId="0" borderId="0"/>
    <xf numFmtId="0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0" fillId="0" borderId="0"/>
    <xf numFmtId="0" fontId="15" fillId="0" borderId="0"/>
    <xf numFmtId="0" fontId="15" fillId="0" borderId="0"/>
    <xf numFmtId="0" fontId="16" fillId="0" borderId="0"/>
  </cellStyleXfs>
  <cellXfs count="96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pivotButton="0" quotePrefix="0" xfId="1"/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top"/>
    </xf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right" vertical="center" wrapText="1"/>
    </xf>
    <xf numFmtId="0" fontId="2" fillId="0" borderId="0" applyAlignment="1" pivotButton="0" quotePrefix="0" xfId="1">
      <alignment vertical="top"/>
    </xf>
    <xf numFmtId="164" fontId="2" fillId="0" borderId="0" applyAlignment="1" pivotButton="0" quotePrefix="0" xfId="2">
      <alignment horizontal="left"/>
    </xf>
    <xf numFmtId="0" fontId="2" fillId="0" borderId="0" applyAlignment="1" pivotButton="0" quotePrefix="0" xfId="1">
      <alignment horizontal="left" vertical="center"/>
    </xf>
    <xf numFmtId="164" fontId="2" fillId="0" borderId="0" applyAlignment="1" pivotButton="0" quotePrefix="0" xfId="2">
      <alignment horizontal="left" vertical="center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164" fontId="2" fillId="0" borderId="0" applyAlignment="1" pivotButton="0" quotePrefix="0" xfId="2">
      <alignment horizontal="center" vertical="center" wrapText="1"/>
    </xf>
    <xf numFmtId="164" fontId="2" fillId="0" borderId="0" pivotButton="0" quotePrefix="0" xfId="2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1">
      <alignment horizontal="left" vertical="top" wrapText="1"/>
    </xf>
    <xf numFmtId="164" fontId="2" fillId="0" borderId="0" applyAlignment="1" pivotButton="0" quotePrefix="0" xfId="2">
      <alignment horizontal="center" vertical="top" wrapText="1"/>
    </xf>
    <xf numFmtId="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center" wrapText="1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center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3">
      <alignment horizontal="left" vertical="center" wrapText="1"/>
      <protection locked="0" hidden="0"/>
    </xf>
    <xf numFmtId="0" fontId="1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1">
      <alignment vertical="top" wrapText="1"/>
    </xf>
    <xf numFmtId="0" fontId="6" fillId="0" borderId="0" applyAlignment="1" pivotButton="0" quotePrefix="0" xfId="8">
      <alignment horizontal="left" vertical="top"/>
    </xf>
    <xf numFmtId="0" fontId="6" fillId="0" borderId="0" applyAlignment="1" pivotButton="0" quotePrefix="0" xfId="8">
      <alignment horizontal="left"/>
    </xf>
    <xf numFmtId="0" fontId="1" fillId="0" borderId="0" applyAlignment="1" pivotButton="0" quotePrefix="0" xfId="7">
      <alignment horizontal="left" vertical="center" wrapText="1"/>
    </xf>
    <xf numFmtId="0" fontId="1" fillId="0" borderId="0" applyAlignment="1" pivotButton="0" quotePrefix="0" xfId="7">
      <alignment vertical="center" wrapText="1"/>
    </xf>
    <xf numFmtId="0" fontId="10" fillId="0" borderId="0" applyAlignment="1" pivotButton="0" quotePrefix="0" xfId="26">
      <alignment vertical="center"/>
    </xf>
    <xf numFmtId="0" fontId="10" fillId="0" borderId="0" applyAlignment="1" pivotButton="0" quotePrefix="0" xfId="26">
      <alignment vertical="center" wrapText="1"/>
    </xf>
    <xf numFmtId="0" fontId="15" fillId="0" borderId="0" applyAlignment="1" applyProtection="1" pivotButton="0" quotePrefix="0" xfId="28">
      <alignment vertical="center"/>
      <protection locked="0" hidden="0"/>
    </xf>
    <xf numFmtId="0" fontId="10" fillId="0" borderId="0" applyProtection="1" pivotButton="0" quotePrefix="0" xfId="26">
      <protection locked="0" hidden="0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16" fillId="0" borderId="0" applyAlignment="1" applyProtection="1" pivotButton="0" quotePrefix="0" xfId="29">
      <alignment horizontal="center" vertical="center" wrapText="1"/>
      <protection locked="0" hidden="0"/>
    </xf>
    <xf numFmtId="0" fontId="10" fillId="0" borderId="0" applyAlignment="1" applyProtection="1" pivotButton="0" quotePrefix="0" xfId="26">
      <alignment horizontal="center"/>
      <protection locked="0" hidden="0"/>
    </xf>
    <xf numFmtId="0" fontId="10" fillId="0" borderId="0" applyAlignment="1" pivotButton="0" quotePrefix="0" xfId="26">
      <alignment horizontal="center" vertical="center"/>
    </xf>
    <xf numFmtId="0" fontId="0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26">
      <alignment horizontal="center" vertical="center" wrapText="1"/>
    </xf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 vertical="center" wrapText="1"/>
    </xf>
    <xf numFmtId="0" fontId="2" fillId="0" borderId="0" pivotButton="0" quotePrefix="0" xfId="1"/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10" fillId="0" borderId="0" applyAlignment="1" pivotButton="0" quotePrefix="0" xfId="26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26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30">
    <cellStyle name="Обычный" xfId="0" builtinId="0"/>
    <cellStyle name="Обычный 2" xfId="1"/>
    <cellStyle name="Финансовый 2" xfId="2"/>
    <cellStyle name="Денежный [0]_СН-ННГ" xfId="3"/>
    <cellStyle name="Стиль 1" xfId="4"/>
    <cellStyle name="Финансовый 2 2" xfId="5"/>
    <cellStyle name="Обычный 3" xfId="6"/>
    <cellStyle name="Обычный 4" xfId="7"/>
    <cellStyle name="Обычный 5 2" xfId="8"/>
    <cellStyle name="Обычный 2 2" xfId="9"/>
    <cellStyle name="Финансовый 2 3" xfId="10"/>
    <cellStyle name="Стиль 1 2" xfId="11"/>
    <cellStyle name="Обычный 3 2" xfId="12"/>
    <cellStyle name="Обычный 3 3" xfId="13"/>
    <cellStyle name="Обычный 3 4" xfId="14"/>
    <cellStyle name="Обычный 4 2" xfId="15"/>
    <cellStyle name="Обычный 4 3" xfId="16"/>
    <cellStyle name="Обычный 5" xfId="17"/>
    <cellStyle name="Обычный 5 3" xfId="18"/>
    <cellStyle name="Обычный 6" xfId="19"/>
    <cellStyle name="Обычный 7" xfId="20"/>
    <cellStyle name="Обычный 7 2" xfId="21"/>
    <cellStyle name="Финансовый 3" xfId="22"/>
    <cellStyle name="Финансовый 3 2" xfId="23"/>
    <cellStyle name="Финансовый 4" xfId="24"/>
    <cellStyle name="Финансовый 4 2" xfId="25"/>
    <cellStyle name="Обычный 10" xfId="26"/>
    <cellStyle name="Обычный 2 4" xfId="27"/>
    <cellStyle name="Обычный 2 6" xfId="28"/>
    <cellStyle name="Обычный_Рабоий фонд" xfId="29"/>
  </cellStyles>
  <dxfs count="21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082;&#1072;&#1087;.%20&#1088;&#1077;&#1084;%202019%20&#1085;&#1085;&#1075;/&#1086;&#1082;&#1090;&#1103;&#1073;&#1088;&#1100;/&#1057;&#1087;&#1088;&#1072;&#1074;&#1082;&#1072;%20&#1051;&#1054;&#1058;%202%20&#1072;&#1074;&#1075;&#1091;&#1089;&#109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от2"/>
      <sheetName val="Лот2 (2)"/>
      <sheetName val="Лист1"/>
      <sheetName val="Лист2"/>
      <sheetName val="Лист3"/>
    </sheetNames>
    <sheetDataSet>
      <sheetData sheetId="0">
        <row r="4">
          <cell r="AN4">
            <v>942461.02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1"/>
  <sheetViews>
    <sheetView showZeros="0" view="pageBreakPreview" zoomScaleNormal="110" zoomScaleSheetLayoutView="100" workbookViewId="0">
      <selection activeCell="B20" sqref="B20"/>
    </sheetView>
  </sheetViews>
  <sheetFormatPr baseColWidth="8" defaultRowHeight="12.75"/>
  <cols>
    <col width="3.7109375" customWidth="1" style="82" min="1" max="1"/>
    <col width="5.85546875" customWidth="1" style="82" min="2" max="2"/>
    <col width="41.85546875" customWidth="1" style="82" min="3" max="3"/>
    <col width="14.28515625" customWidth="1" style="82" min="4" max="4"/>
    <col width="21.5703125" customWidth="1" style="82" min="5" max="5"/>
    <col width="24.28515625" customWidth="1" style="82" min="6" max="6"/>
    <col width="4.28515625" customWidth="1" style="82" min="7" max="7"/>
    <col width="14.7109375" customWidth="1" style="82" min="8" max="8"/>
    <col width="23" customWidth="1" style="82" min="9" max="9"/>
    <col width="12.85546875" customWidth="1" style="82" min="10" max="10"/>
    <col width="16.140625" customWidth="1" style="82" min="11" max="11"/>
    <col width="14.140625" customWidth="1" style="82" min="12" max="12"/>
    <col width="11" bestFit="1" customWidth="1" style="82" min="13" max="14"/>
    <col width="9.140625" customWidth="1" style="82" min="15" max="256"/>
    <col width="2" customWidth="1" style="82" min="257" max="257"/>
    <col width="5.85546875" customWidth="1" style="82" min="258" max="258"/>
    <col width="38.5703125" customWidth="1" style="82" min="259" max="259"/>
    <col width="10" customWidth="1" style="82" min="260" max="260"/>
    <col width="21.5703125" customWidth="1" style="82" min="261" max="261"/>
    <col width="22.7109375" customWidth="1" style="82" min="262" max="262"/>
    <col width="0.28515625" customWidth="1" style="82" min="263" max="263"/>
    <col hidden="1" width="13" customWidth="1" style="82" min="264" max="264"/>
    <col width="9.140625" customWidth="1" style="82" min="265" max="267"/>
    <col width="14.140625" customWidth="1" style="82" min="268" max="268"/>
    <col width="9.140625" customWidth="1" style="82" min="269" max="512"/>
    <col width="2" customWidth="1" style="82" min="513" max="513"/>
    <col width="5.85546875" customWidth="1" style="82" min="514" max="514"/>
    <col width="38.5703125" customWidth="1" style="82" min="515" max="515"/>
    <col width="10" customWidth="1" style="82" min="516" max="516"/>
    <col width="21.5703125" customWidth="1" style="82" min="517" max="517"/>
    <col width="22.7109375" customWidth="1" style="82" min="518" max="518"/>
    <col width="0.28515625" customWidth="1" style="82" min="519" max="519"/>
    <col hidden="1" width="13" customWidth="1" style="82" min="520" max="520"/>
    <col width="9.140625" customWidth="1" style="82" min="521" max="523"/>
    <col width="14.140625" customWidth="1" style="82" min="524" max="524"/>
    <col width="9.140625" customWidth="1" style="82" min="525" max="768"/>
    <col width="2" customWidth="1" style="82" min="769" max="769"/>
    <col width="5.85546875" customWidth="1" style="82" min="770" max="770"/>
    <col width="38.5703125" customWidth="1" style="82" min="771" max="771"/>
    <col width="10" customWidth="1" style="82" min="772" max="772"/>
    <col width="21.5703125" customWidth="1" style="82" min="773" max="773"/>
    <col width="22.7109375" customWidth="1" style="82" min="774" max="774"/>
    <col width="0.28515625" customWidth="1" style="82" min="775" max="775"/>
    <col hidden="1" width="13" customWidth="1" style="82" min="776" max="776"/>
    <col width="9.140625" customWidth="1" style="82" min="777" max="779"/>
    <col width="14.140625" customWidth="1" style="82" min="780" max="780"/>
    <col width="9.140625" customWidth="1" style="82" min="781" max="1024"/>
    <col width="2" customWidth="1" style="82" min="1025" max="1025"/>
    <col width="5.85546875" customWidth="1" style="82" min="1026" max="1026"/>
    <col width="38.5703125" customWidth="1" style="82" min="1027" max="1027"/>
    <col width="10" customWidth="1" style="82" min="1028" max="1028"/>
    <col width="21.5703125" customWidth="1" style="82" min="1029" max="1029"/>
    <col width="22.7109375" customWidth="1" style="82" min="1030" max="1030"/>
    <col width="0.28515625" customWidth="1" style="82" min="1031" max="1031"/>
    <col hidden="1" width="13" customWidth="1" style="82" min="1032" max="1032"/>
    <col width="9.140625" customWidth="1" style="82" min="1033" max="1035"/>
    <col width="14.140625" customWidth="1" style="82" min="1036" max="1036"/>
    <col width="9.140625" customWidth="1" style="82" min="1037" max="1280"/>
    <col width="2" customWidth="1" style="82" min="1281" max="1281"/>
    <col width="5.85546875" customWidth="1" style="82" min="1282" max="1282"/>
    <col width="38.5703125" customWidth="1" style="82" min="1283" max="1283"/>
    <col width="10" customWidth="1" style="82" min="1284" max="1284"/>
    <col width="21.5703125" customWidth="1" style="82" min="1285" max="1285"/>
    <col width="22.7109375" customWidth="1" style="82" min="1286" max="1286"/>
    <col width="0.28515625" customWidth="1" style="82" min="1287" max="1287"/>
    <col hidden="1" width="13" customWidth="1" style="82" min="1288" max="1288"/>
    <col width="9.140625" customWidth="1" style="82" min="1289" max="1291"/>
    <col width="14.140625" customWidth="1" style="82" min="1292" max="1292"/>
    <col width="9.140625" customWidth="1" style="82" min="1293" max="1536"/>
    <col width="2" customWidth="1" style="82" min="1537" max="1537"/>
    <col width="5.85546875" customWidth="1" style="82" min="1538" max="1538"/>
    <col width="38.5703125" customWidth="1" style="82" min="1539" max="1539"/>
    <col width="10" customWidth="1" style="82" min="1540" max="1540"/>
    <col width="21.5703125" customWidth="1" style="82" min="1541" max="1541"/>
    <col width="22.7109375" customWidth="1" style="82" min="1542" max="1542"/>
    <col width="0.28515625" customWidth="1" style="82" min="1543" max="1543"/>
    <col hidden="1" width="13" customWidth="1" style="82" min="1544" max="1544"/>
    <col width="9.140625" customWidth="1" style="82" min="1545" max="1547"/>
    <col width="14.140625" customWidth="1" style="82" min="1548" max="1548"/>
    <col width="9.140625" customWidth="1" style="82" min="1549" max="1792"/>
    <col width="2" customWidth="1" style="82" min="1793" max="1793"/>
    <col width="5.85546875" customWidth="1" style="82" min="1794" max="1794"/>
    <col width="38.5703125" customWidth="1" style="82" min="1795" max="1795"/>
    <col width="10" customWidth="1" style="82" min="1796" max="1796"/>
    <col width="21.5703125" customWidth="1" style="82" min="1797" max="1797"/>
    <col width="22.7109375" customWidth="1" style="82" min="1798" max="1798"/>
    <col width="0.28515625" customWidth="1" style="82" min="1799" max="1799"/>
    <col hidden="1" width="13" customWidth="1" style="82" min="1800" max="1800"/>
    <col width="9.140625" customWidth="1" style="82" min="1801" max="1803"/>
    <col width="14.140625" customWidth="1" style="82" min="1804" max="1804"/>
    <col width="9.140625" customWidth="1" style="82" min="1805" max="2048"/>
    <col width="2" customWidth="1" style="82" min="2049" max="2049"/>
    <col width="5.85546875" customWidth="1" style="82" min="2050" max="2050"/>
    <col width="38.5703125" customWidth="1" style="82" min="2051" max="2051"/>
    <col width="10" customWidth="1" style="82" min="2052" max="2052"/>
    <col width="21.5703125" customWidth="1" style="82" min="2053" max="2053"/>
    <col width="22.7109375" customWidth="1" style="82" min="2054" max="2054"/>
    <col width="0.28515625" customWidth="1" style="82" min="2055" max="2055"/>
    <col hidden="1" width="13" customWidth="1" style="82" min="2056" max="2056"/>
    <col width="9.140625" customWidth="1" style="82" min="2057" max="2059"/>
    <col width="14.140625" customWidth="1" style="82" min="2060" max="2060"/>
    <col width="9.140625" customWidth="1" style="82" min="2061" max="2304"/>
    <col width="2" customWidth="1" style="82" min="2305" max="2305"/>
    <col width="5.85546875" customWidth="1" style="82" min="2306" max="2306"/>
    <col width="38.5703125" customWidth="1" style="82" min="2307" max="2307"/>
    <col width="10" customWidth="1" style="82" min="2308" max="2308"/>
    <col width="21.5703125" customWidth="1" style="82" min="2309" max="2309"/>
    <col width="22.7109375" customWidth="1" style="82" min="2310" max="2310"/>
    <col width="0.28515625" customWidth="1" style="82" min="2311" max="2311"/>
    <col hidden="1" width="13" customWidth="1" style="82" min="2312" max="2312"/>
    <col width="9.140625" customWidth="1" style="82" min="2313" max="2315"/>
    <col width="14.140625" customWidth="1" style="82" min="2316" max="2316"/>
    <col width="9.140625" customWidth="1" style="82" min="2317" max="2560"/>
    <col width="2" customWidth="1" style="82" min="2561" max="2561"/>
    <col width="5.85546875" customWidth="1" style="82" min="2562" max="2562"/>
    <col width="38.5703125" customWidth="1" style="82" min="2563" max="2563"/>
    <col width="10" customWidth="1" style="82" min="2564" max="2564"/>
    <col width="21.5703125" customWidth="1" style="82" min="2565" max="2565"/>
    <col width="22.7109375" customWidth="1" style="82" min="2566" max="2566"/>
    <col width="0.28515625" customWidth="1" style="82" min="2567" max="2567"/>
    <col hidden="1" width="13" customWidth="1" style="82" min="2568" max="2568"/>
    <col width="9.140625" customWidth="1" style="82" min="2569" max="2571"/>
    <col width="14.140625" customWidth="1" style="82" min="2572" max="2572"/>
    <col width="9.140625" customWidth="1" style="82" min="2573" max="2816"/>
    <col width="2" customWidth="1" style="82" min="2817" max="2817"/>
    <col width="5.85546875" customWidth="1" style="82" min="2818" max="2818"/>
    <col width="38.5703125" customWidth="1" style="82" min="2819" max="2819"/>
    <col width="10" customWidth="1" style="82" min="2820" max="2820"/>
    <col width="21.5703125" customWidth="1" style="82" min="2821" max="2821"/>
    <col width="22.7109375" customWidth="1" style="82" min="2822" max="2822"/>
    <col width="0.28515625" customWidth="1" style="82" min="2823" max="2823"/>
    <col hidden="1" width="13" customWidth="1" style="82" min="2824" max="2824"/>
    <col width="9.140625" customWidth="1" style="82" min="2825" max="2827"/>
    <col width="14.140625" customWidth="1" style="82" min="2828" max="2828"/>
    <col width="9.140625" customWidth="1" style="82" min="2829" max="3072"/>
    <col width="2" customWidth="1" style="82" min="3073" max="3073"/>
    <col width="5.85546875" customWidth="1" style="82" min="3074" max="3074"/>
    <col width="38.5703125" customWidth="1" style="82" min="3075" max="3075"/>
    <col width="10" customWidth="1" style="82" min="3076" max="3076"/>
    <col width="21.5703125" customWidth="1" style="82" min="3077" max="3077"/>
    <col width="22.7109375" customWidth="1" style="82" min="3078" max="3078"/>
    <col width="0.28515625" customWidth="1" style="82" min="3079" max="3079"/>
    <col hidden="1" width="13" customWidth="1" style="82" min="3080" max="3080"/>
    <col width="9.140625" customWidth="1" style="82" min="3081" max="3083"/>
    <col width="14.140625" customWidth="1" style="82" min="3084" max="3084"/>
    <col width="9.140625" customWidth="1" style="82" min="3085" max="3328"/>
    <col width="2" customWidth="1" style="82" min="3329" max="3329"/>
    <col width="5.85546875" customWidth="1" style="82" min="3330" max="3330"/>
    <col width="38.5703125" customWidth="1" style="82" min="3331" max="3331"/>
    <col width="10" customWidth="1" style="82" min="3332" max="3332"/>
    <col width="21.5703125" customWidth="1" style="82" min="3333" max="3333"/>
    <col width="22.7109375" customWidth="1" style="82" min="3334" max="3334"/>
    <col width="0.28515625" customWidth="1" style="82" min="3335" max="3335"/>
    <col hidden="1" width="13" customWidth="1" style="82" min="3336" max="3336"/>
    <col width="9.140625" customWidth="1" style="82" min="3337" max="3339"/>
    <col width="14.140625" customWidth="1" style="82" min="3340" max="3340"/>
    <col width="9.140625" customWidth="1" style="82" min="3341" max="3584"/>
    <col width="2" customWidth="1" style="82" min="3585" max="3585"/>
    <col width="5.85546875" customWidth="1" style="82" min="3586" max="3586"/>
    <col width="38.5703125" customWidth="1" style="82" min="3587" max="3587"/>
    <col width="10" customWidth="1" style="82" min="3588" max="3588"/>
    <col width="21.5703125" customWidth="1" style="82" min="3589" max="3589"/>
    <col width="22.7109375" customWidth="1" style="82" min="3590" max="3590"/>
    <col width="0.28515625" customWidth="1" style="82" min="3591" max="3591"/>
    <col hidden="1" width="13" customWidth="1" style="82" min="3592" max="3592"/>
    <col width="9.140625" customWidth="1" style="82" min="3593" max="3595"/>
    <col width="14.140625" customWidth="1" style="82" min="3596" max="3596"/>
    <col width="9.140625" customWidth="1" style="82" min="3597" max="3840"/>
    <col width="2" customWidth="1" style="82" min="3841" max="3841"/>
    <col width="5.85546875" customWidth="1" style="82" min="3842" max="3842"/>
    <col width="38.5703125" customWidth="1" style="82" min="3843" max="3843"/>
    <col width="10" customWidth="1" style="82" min="3844" max="3844"/>
    <col width="21.5703125" customWidth="1" style="82" min="3845" max="3845"/>
    <col width="22.7109375" customWidth="1" style="82" min="3846" max="3846"/>
    <col width="0.28515625" customWidth="1" style="82" min="3847" max="3847"/>
    <col hidden="1" width="13" customWidth="1" style="82" min="3848" max="3848"/>
    <col width="9.140625" customWidth="1" style="82" min="3849" max="3851"/>
    <col width="14.140625" customWidth="1" style="82" min="3852" max="3852"/>
    <col width="9.140625" customWidth="1" style="82" min="3853" max="4096"/>
    <col width="2" customWidth="1" style="82" min="4097" max="4097"/>
    <col width="5.85546875" customWidth="1" style="82" min="4098" max="4098"/>
    <col width="38.5703125" customWidth="1" style="82" min="4099" max="4099"/>
    <col width="10" customWidth="1" style="82" min="4100" max="4100"/>
    <col width="21.5703125" customWidth="1" style="82" min="4101" max="4101"/>
    <col width="22.7109375" customWidth="1" style="82" min="4102" max="4102"/>
    <col width="0.28515625" customWidth="1" style="82" min="4103" max="4103"/>
    <col hidden="1" width="13" customWidth="1" style="82" min="4104" max="4104"/>
    <col width="9.140625" customWidth="1" style="82" min="4105" max="4107"/>
    <col width="14.140625" customWidth="1" style="82" min="4108" max="4108"/>
    <col width="9.140625" customWidth="1" style="82" min="4109" max="4352"/>
    <col width="2" customWidth="1" style="82" min="4353" max="4353"/>
    <col width="5.85546875" customWidth="1" style="82" min="4354" max="4354"/>
    <col width="38.5703125" customWidth="1" style="82" min="4355" max="4355"/>
    <col width="10" customWidth="1" style="82" min="4356" max="4356"/>
    <col width="21.5703125" customWidth="1" style="82" min="4357" max="4357"/>
    <col width="22.7109375" customWidth="1" style="82" min="4358" max="4358"/>
    <col width="0.28515625" customWidth="1" style="82" min="4359" max="4359"/>
    <col hidden="1" width="13" customWidth="1" style="82" min="4360" max="4360"/>
    <col width="9.140625" customWidth="1" style="82" min="4361" max="4363"/>
    <col width="14.140625" customWidth="1" style="82" min="4364" max="4364"/>
    <col width="9.140625" customWidth="1" style="82" min="4365" max="4608"/>
    <col width="2" customWidth="1" style="82" min="4609" max="4609"/>
    <col width="5.85546875" customWidth="1" style="82" min="4610" max="4610"/>
    <col width="38.5703125" customWidth="1" style="82" min="4611" max="4611"/>
    <col width="10" customWidth="1" style="82" min="4612" max="4612"/>
    <col width="21.5703125" customWidth="1" style="82" min="4613" max="4613"/>
    <col width="22.7109375" customWidth="1" style="82" min="4614" max="4614"/>
    <col width="0.28515625" customWidth="1" style="82" min="4615" max="4615"/>
    <col hidden="1" width="13" customWidth="1" style="82" min="4616" max="4616"/>
    <col width="9.140625" customWidth="1" style="82" min="4617" max="4619"/>
    <col width="14.140625" customWidth="1" style="82" min="4620" max="4620"/>
    <col width="9.140625" customWidth="1" style="82" min="4621" max="4864"/>
    <col width="2" customWidth="1" style="82" min="4865" max="4865"/>
    <col width="5.85546875" customWidth="1" style="82" min="4866" max="4866"/>
    <col width="38.5703125" customWidth="1" style="82" min="4867" max="4867"/>
    <col width="10" customWidth="1" style="82" min="4868" max="4868"/>
    <col width="21.5703125" customWidth="1" style="82" min="4869" max="4869"/>
    <col width="22.7109375" customWidth="1" style="82" min="4870" max="4870"/>
    <col width="0.28515625" customWidth="1" style="82" min="4871" max="4871"/>
    <col hidden="1" width="13" customWidth="1" style="82" min="4872" max="4872"/>
    <col width="9.140625" customWidth="1" style="82" min="4873" max="4875"/>
    <col width="14.140625" customWidth="1" style="82" min="4876" max="4876"/>
    <col width="9.140625" customWidth="1" style="82" min="4877" max="5120"/>
    <col width="2" customWidth="1" style="82" min="5121" max="5121"/>
    <col width="5.85546875" customWidth="1" style="82" min="5122" max="5122"/>
    <col width="38.5703125" customWidth="1" style="82" min="5123" max="5123"/>
    <col width="10" customWidth="1" style="82" min="5124" max="5124"/>
    <col width="21.5703125" customWidth="1" style="82" min="5125" max="5125"/>
    <col width="22.7109375" customWidth="1" style="82" min="5126" max="5126"/>
    <col width="0.28515625" customWidth="1" style="82" min="5127" max="5127"/>
    <col hidden="1" width="13" customWidth="1" style="82" min="5128" max="5128"/>
    <col width="9.140625" customWidth="1" style="82" min="5129" max="5131"/>
    <col width="14.140625" customWidth="1" style="82" min="5132" max="5132"/>
    <col width="9.140625" customWidth="1" style="82" min="5133" max="5376"/>
    <col width="2" customWidth="1" style="82" min="5377" max="5377"/>
    <col width="5.85546875" customWidth="1" style="82" min="5378" max="5378"/>
    <col width="38.5703125" customWidth="1" style="82" min="5379" max="5379"/>
    <col width="10" customWidth="1" style="82" min="5380" max="5380"/>
    <col width="21.5703125" customWidth="1" style="82" min="5381" max="5381"/>
    <col width="22.7109375" customWidth="1" style="82" min="5382" max="5382"/>
    <col width="0.28515625" customWidth="1" style="82" min="5383" max="5383"/>
    <col hidden="1" width="13" customWidth="1" style="82" min="5384" max="5384"/>
    <col width="9.140625" customWidth="1" style="82" min="5385" max="5387"/>
    <col width="14.140625" customWidth="1" style="82" min="5388" max="5388"/>
    <col width="9.140625" customWidth="1" style="82" min="5389" max="5632"/>
    <col width="2" customWidth="1" style="82" min="5633" max="5633"/>
    <col width="5.85546875" customWidth="1" style="82" min="5634" max="5634"/>
    <col width="38.5703125" customWidth="1" style="82" min="5635" max="5635"/>
    <col width="10" customWidth="1" style="82" min="5636" max="5636"/>
    <col width="21.5703125" customWidth="1" style="82" min="5637" max="5637"/>
    <col width="22.7109375" customWidth="1" style="82" min="5638" max="5638"/>
    <col width="0.28515625" customWidth="1" style="82" min="5639" max="5639"/>
    <col hidden="1" width="13" customWidth="1" style="82" min="5640" max="5640"/>
    <col width="9.140625" customWidth="1" style="82" min="5641" max="5643"/>
    <col width="14.140625" customWidth="1" style="82" min="5644" max="5644"/>
    <col width="9.140625" customWidth="1" style="82" min="5645" max="5888"/>
    <col width="2" customWidth="1" style="82" min="5889" max="5889"/>
    <col width="5.85546875" customWidth="1" style="82" min="5890" max="5890"/>
    <col width="38.5703125" customWidth="1" style="82" min="5891" max="5891"/>
    <col width="10" customWidth="1" style="82" min="5892" max="5892"/>
    <col width="21.5703125" customWidth="1" style="82" min="5893" max="5893"/>
    <col width="22.7109375" customWidth="1" style="82" min="5894" max="5894"/>
    <col width="0.28515625" customWidth="1" style="82" min="5895" max="5895"/>
    <col hidden="1" width="13" customWidth="1" style="82" min="5896" max="5896"/>
    <col width="9.140625" customWidth="1" style="82" min="5897" max="5899"/>
    <col width="14.140625" customWidth="1" style="82" min="5900" max="5900"/>
    <col width="9.140625" customWidth="1" style="82" min="5901" max="6144"/>
    <col width="2" customWidth="1" style="82" min="6145" max="6145"/>
    <col width="5.85546875" customWidth="1" style="82" min="6146" max="6146"/>
    <col width="38.5703125" customWidth="1" style="82" min="6147" max="6147"/>
    <col width="10" customWidth="1" style="82" min="6148" max="6148"/>
    <col width="21.5703125" customWidth="1" style="82" min="6149" max="6149"/>
    <col width="22.7109375" customWidth="1" style="82" min="6150" max="6150"/>
    <col width="0.28515625" customWidth="1" style="82" min="6151" max="6151"/>
    <col hidden="1" width="13" customWidth="1" style="82" min="6152" max="6152"/>
    <col width="9.140625" customWidth="1" style="82" min="6153" max="6155"/>
    <col width="14.140625" customWidth="1" style="82" min="6156" max="6156"/>
    <col width="9.140625" customWidth="1" style="82" min="6157" max="6400"/>
    <col width="2" customWidth="1" style="82" min="6401" max="6401"/>
    <col width="5.85546875" customWidth="1" style="82" min="6402" max="6402"/>
    <col width="38.5703125" customWidth="1" style="82" min="6403" max="6403"/>
    <col width="10" customWidth="1" style="82" min="6404" max="6404"/>
    <col width="21.5703125" customWidth="1" style="82" min="6405" max="6405"/>
    <col width="22.7109375" customWidth="1" style="82" min="6406" max="6406"/>
    <col width="0.28515625" customWidth="1" style="82" min="6407" max="6407"/>
    <col hidden="1" width="13" customWidth="1" style="82" min="6408" max="6408"/>
    <col width="9.140625" customWidth="1" style="82" min="6409" max="6411"/>
    <col width="14.140625" customWidth="1" style="82" min="6412" max="6412"/>
    <col width="9.140625" customWidth="1" style="82" min="6413" max="6656"/>
    <col width="2" customWidth="1" style="82" min="6657" max="6657"/>
    <col width="5.85546875" customWidth="1" style="82" min="6658" max="6658"/>
    <col width="38.5703125" customWidth="1" style="82" min="6659" max="6659"/>
    <col width="10" customWidth="1" style="82" min="6660" max="6660"/>
    <col width="21.5703125" customWidth="1" style="82" min="6661" max="6661"/>
    <col width="22.7109375" customWidth="1" style="82" min="6662" max="6662"/>
    <col width="0.28515625" customWidth="1" style="82" min="6663" max="6663"/>
    <col hidden="1" width="13" customWidth="1" style="82" min="6664" max="6664"/>
    <col width="9.140625" customWidth="1" style="82" min="6665" max="6667"/>
    <col width="14.140625" customWidth="1" style="82" min="6668" max="6668"/>
    <col width="9.140625" customWidth="1" style="82" min="6669" max="6912"/>
    <col width="2" customWidth="1" style="82" min="6913" max="6913"/>
    <col width="5.85546875" customWidth="1" style="82" min="6914" max="6914"/>
    <col width="38.5703125" customWidth="1" style="82" min="6915" max="6915"/>
    <col width="10" customWidth="1" style="82" min="6916" max="6916"/>
    <col width="21.5703125" customWidth="1" style="82" min="6917" max="6917"/>
    <col width="22.7109375" customWidth="1" style="82" min="6918" max="6918"/>
    <col width="0.28515625" customWidth="1" style="82" min="6919" max="6919"/>
    <col hidden="1" width="13" customWidth="1" style="82" min="6920" max="6920"/>
    <col width="9.140625" customWidth="1" style="82" min="6921" max="6923"/>
    <col width="14.140625" customWidth="1" style="82" min="6924" max="6924"/>
    <col width="9.140625" customWidth="1" style="82" min="6925" max="7168"/>
    <col width="2" customWidth="1" style="82" min="7169" max="7169"/>
    <col width="5.85546875" customWidth="1" style="82" min="7170" max="7170"/>
    <col width="38.5703125" customWidth="1" style="82" min="7171" max="7171"/>
    <col width="10" customWidth="1" style="82" min="7172" max="7172"/>
    <col width="21.5703125" customWidth="1" style="82" min="7173" max="7173"/>
    <col width="22.7109375" customWidth="1" style="82" min="7174" max="7174"/>
    <col width="0.28515625" customWidth="1" style="82" min="7175" max="7175"/>
    <col hidden="1" width="13" customWidth="1" style="82" min="7176" max="7176"/>
    <col width="9.140625" customWidth="1" style="82" min="7177" max="7179"/>
    <col width="14.140625" customWidth="1" style="82" min="7180" max="7180"/>
    <col width="9.140625" customWidth="1" style="82" min="7181" max="7424"/>
    <col width="2" customWidth="1" style="82" min="7425" max="7425"/>
    <col width="5.85546875" customWidth="1" style="82" min="7426" max="7426"/>
    <col width="38.5703125" customWidth="1" style="82" min="7427" max="7427"/>
    <col width="10" customWidth="1" style="82" min="7428" max="7428"/>
    <col width="21.5703125" customWidth="1" style="82" min="7429" max="7429"/>
    <col width="22.7109375" customWidth="1" style="82" min="7430" max="7430"/>
    <col width="0.28515625" customWidth="1" style="82" min="7431" max="7431"/>
    <col hidden="1" width="13" customWidth="1" style="82" min="7432" max="7432"/>
    <col width="9.140625" customWidth="1" style="82" min="7433" max="7435"/>
    <col width="14.140625" customWidth="1" style="82" min="7436" max="7436"/>
    <col width="9.140625" customWidth="1" style="82" min="7437" max="7680"/>
    <col width="2" customWidth="1" style="82" min="7681" max="7681"/>
    <col width="5.85546875" customWidth="1" style="82" min="7682" max="7682"/>
    <col width="38.5703125" customWidth="1" style="82" min="7683" max="7683"/>
    <col width="10" customWidth="1" style="82" min="7684" max="7684"/>
    <col width="21.5703125" customWidth="1" style="82" min="7685" max="7685"/>
    <col width="22.7109375" customWidth="1" style="82" min="7686" max="7686"/>
    <col width="0.28515625" customWidth="1" style="82" min="7687" max="7687"/>
    <col hidden="1" width="13" customWidth="1" style="82" min="7688" max="7688"/>
    <col width="9.140625" customWidth="1" style="82" min="7689" max="7691"/>
    <col width="14.140625" customWidth="1" style="82" min="7692" max="7692"/>
    <col width="9.140625" customWidth="1" style="82" min="7693" max="7936"/>
    <col width="2" customWidth="1" style="82" min="7937" max="7937"/>
    <col width="5.85546875" customWidth="1" style="82" min="7938" max="7938"/>
    <col width="38.5703125" customWidth="1" style="82" min="7939" max="7939"/>
    <col width="10" customWidth="1" style="82" min="7940" max="7940"/>
    <col width="21.5703125" customWidth="1" style="82" min="7941" max="7941"/>
    <col width="22.7109375" customWidth="1" style="82" min="7942" max="7942"/>
    <col width="0.28515625" customWidth="1" style="82" min="7943" max="7943"/>
    <col hidden="1" width="13" customWidth="1" style="82" min="7944" max="7944"/>
    <col width="9.140625" customWidth="1" style="82" min="7945" max="7947"/>
    <col width="14.140625" customWidth="1" style="82" min="7948" max="7948"/>
    <col width="9.140625" customWidth="1" style="82" min="7949" max="8192"/>
    <col width="2" customWidth="1" style="82" min="8193" max="8193"/>
    <col width="5.85546875" customWidth="1" style="82" min="8194" max="8194"/>
    <col width="38.5703125" customWidth="1" style="82" min="8195" max="8195"/>
    <col width="10" customWidth="1" style="82" min="8196" max="8196"/>
    <col width="21.5703125" customWidth="1" style="82" min="8197" max="8197"/>
    <col width="22.7109375" customWidth="1" style="82" min="8198" max="8198"/>
    <col width="0.28515625" customWidth="1" style="82" min="8199" max="8199"/>
    <col hidden="1" width="13" customWidth="1" style="82" min="8200" max="8200"/>
    <col width="9.140625" customWidth="1" style="82" min="8201" max="8203"/>
    <col width="14.140625" customWidth="1" style="82" min="8204" max="8204"/>
    <col width="9.140625" customWidth="1" style="82" min="8205" max="8448"/>
    <col width="2" customWidth="1" style="82" min="8449" max="8449"/>
    <col width="5.85546875" customWidth="1" style="82" min="8450" max="8450"/>
    <col width="38.5703125" customWidth="1" style="82" min="8451" max="8451"/>
    <col width="10" customWidth="1" style="82" min="8452" max="8452"/>
    <col width="21.5703125" customWidth="1" style="82" min="8453" max="8453"/>
    <col width="22.7109375" customWidth="1" style="82" min="8454" max="8454"/>
    <col width="0.28515625" customWidth="1" style="82" min="8455" max="8455"/>
    <col hidden="1" width="13" customWidth="1" style="82" min="8456" max="8456"/>
    <col width="9.140625" customWidth="1" style="82" min="8457" max="8459"/>
    <col width="14.140625" customWidth="1" style="82" min="8460" max="8460"/>
    <col width="9.140625" customWidth="1" style="82" min="8461" max="8704"/>
    <col width="2" customWidth="1" style="82" min="8705" max="8705"/>
    <col width="5.85546875" customWidth="1" style="82" min="8706" max="8706"/>
    <col width="38.5703125" customWidth="1" style="82" min="8707" max="8707"/>
    <col width="10" customWidth="1" style="82" min="8708" max="8708"/>
    <col width="21.5703125" customWidth="1" style="82" min="8709" max="8709"/>
    <col width="22.7109375" customWidth="1" style="82" min="8710" max="8710"/>
    <col width="0.28515625" customWidth="1" style="82" min="8711" max="8711"/>
    <col hidden="1" width="13" customWidth="1" style="82" min="8712" max="8712"/>
    <col width="9.140625" customWidth="1" style="82" min="8713" max="8715"/>
    <col width="14.140625" customWidth="1" style="82" min="8716" max="8716"/>
    <col width="9.140625" customWidth="1" style="82" min="8717" max="8960"/>
    <col width="2" customWidth="1" style="82" min="8961" max="8961"/>
    <col width="5.85546875" customWidth="1" style="82" min="8962" max="8962"/>
    <col width="38.5703125" customWidth="1" style="82" min="8963" max="8963"/>
    <col width="10" customWidth="1" style="82" min="8964" max="8964"/>
    <col width="21.5703125" customWidth="1" style="82" min="8965" max="8965"/>
    <col width="22.7109375" customWidth="1" style="82" min="8966" max="8966"/>
    <col width="0.28515625" customWidth="1" style="82" min="8967" max="8967"/>
    <col hidden="1" width="13" customWidth="1" style="82" min="8968" max="8968"/>
    <col width="9.140625" customWidth="1" style="82" min="8969" max="8971"/>
    <col width="14.140625" customWidth="1" style="82" min="8972" max="8972"/>
    <col width="9.140625" customWidth="1" style="82" min="8973" max="9216"/>
    <col width="2" customWidth="1" style="82" min="9217" max="9217"/>
    <col width="5.85546875" customWidth="1" style="82" min="9218" max="9218"/>
    <col width="38.5703125" customWidth="1" style="82" min="9219" max="9219"/>
    <col width="10" customWidth="1" style="82" min="9220" max="9220"/>
    <col width="21.5703125" customWidth="1" style="82" min="9221" max="9221"/>
    <col width="22.7109375" customWidth="1" style="82" min="9222" max="9222"/>
    <col width="0.28515625" customWidth="1" style="82" min="9223" max="9223"/>
    <col hidden="1" width="13" customWidth="1" style="82" min="9224" max="9224"/>
    <col width="9.140625" customWidth="1" style="82" min="9225" max="9227"/>
    <col width="14.140625" customWidth="1" style="82" min="9228" max="9228"/>
    <col width="9.140625" customWidth="1" style="82" min="9229" max="9472"/>
    <col width="2" customWidth="1" style="82" min="9473" max="9473"/>
    <col width="5.85546875" customWidth="1" style="82" min="9474" max="9474"/>
    <col width="38.5703125" customWidth="1" style="82" min="9475" max="9475"/>
    <col width="10" customWidth="1" style="82" min="9476" max="9476"/>
    <col width="21.5703125" customWidth="1" style="82" min="9477" max="9477"/>
    <col width="22.7109375" customWidth="1" style="82" min="9478" max="9478"/>
    <col width="0.28515625" customWidth="1" style="82" min="9479" max="9479"/>
    <col hidden="1" width="13" customWidth="1" style="82" min="9480" max="9480"/>
    <col width="9.140625" customWidth="1" style="82" min="9481" max="9483"/>
    <col width="14.140625" customWidth="1" style="82" min="9484" max="9484"/>
    <col width="9.140625" customWidth="1" style="82" min="9485" max="9728"/>
    <col width="2" customWidth="1" style="82" min="9729" max="9729"/>
    <col width="5.85546875" customWidth="1" style="82" min="9730" max="9730"/>
    <col width="38.5703125" customWidth="1" style="82" min="9731" max="9731"/>
    <col width="10" customWidth="1" style="82" min="9732" max="9732"/>
    <col width="21.5703125" customWidth="1" style="82" min="9733" max="9733"/>
    <col width="22.7109375" customWidth="1" style="82" min="9734" max="9734"/>
    <col width="0.28515625" customWidth="1" style="82" min="9735" max="9735"/>
    <col hidden="1" width="13" customWidth="1" style="82" min="9736" max="9736"/>
    <col width="9.140625" customWidth="1" style="82" min="9737" max="9739"/>
    <col width="14.140625" customWidth="1" style="82" min="9740" max="9740"/>
    <col width="9.140625" customWidth="1" style="82" min="9741" max="9984"/>
    <col width="2" customWidth="1" style="82" min="9985" max="9985"/>
    <col width="5.85546875" customWidth="1" style="82" min="9986" max="9986"/>
    <col width="38.5703125" customWidth="1" style="82" min="9987" max="9987"/>
    <col width="10" customWidth="1" style="82" min="9988" max="9988"/>
    <col width="21.5703125" customWidth="1" style="82" min="9989" max="9989"/>
    <col width="22.7109375" customWidth="1" style="82" min="9990" max="9990"/>
    <col width="0.28515625" customWidth="1" style="82" min="9991" max="9991"/>
    <col hidden="1" width="13" customWidth="1" style="82" min="9992" max="9992"/>
    <col width="9.140625" customWidth="1" style="82" min="9993" max="9995"/>
    <col width="14.140625" customWidth="1" style="82" min="9996" max="9996"/>
    <col width="9.140625" customWidth="1" style="82" min="9997" max="10240"/>
    <col width="2" customWidth="1" style="82" min="10241" max="10241"/>
    <col width="5.85546875" customWidth="1" style="82" min="10242" max="10242"/>
    <col width="38.5703125" customWidth="1" style="82" min="10243" max="10243"/>
    <col width="10" customWidth="1" style="82" min="10244" max="10244"/>
    <col width="21.5703125" customWidth="1" style="82" min="10245" max="10245"/>
    <col width="22.7109375" customWidth="1" style="82" min="10246" max="10246"/>
    <col width="0.28515625" customWidth="1" style="82" min="10247" max="10247"/>
    <col hidden="1" width="13" customWidth="1" style="82" min="10248" max="10248"/>
    <col width="9.140625" customWidth="1" style="82" min="10249" max="10251"/>
    <col width="14.140625" customWidth="1" style="82" min="10252" max="10252"/>
    <col width="9.140625" customWidth="1" style="82" min="10253" max="10496"/>
    <col width="2" customWidth="1" style="82" min="10497" max="10497"/>
    <col width="5.85546875" customWidth="1" style="82" min="10498" max="10498"/>
    <col width="38.5703125" customWidth="1" style="82" min="10499" max="10499"/>
    <col width="10" customWidth="1" style="82" min="10500" max="10500"/>
    <col width="21.5703125" customWidth="1" style="82" min="10501" max="10501"/>
    <col width="22.7109375" customWidth="1" style="82" min="10502" max="10502"/>
    <col width="0.28515625" customWidth="1" style="82" min="10503" max="10503"/>
    <col hidden="1" width="13" customWidth="1" style="82" min="10504" max="10504"/>
    <col width="9.140625" customWidth="1" style="82" min="10505" max="10507"/>
    <col width="14.140625" customWidth="1" style="82" min="10508" max="10508"/>
    <col width="9.140625" customWidth="1" style="82" min="10509" max="10752"/>
    <col width="2" customWidth="1" style="82" min="10753" max="10753"/>
    <col width="5.85546875" customWidth="1" style="82" min="10754" max="10754"/>
    <col width="38.5703125" customWidth="1" style="82" min="10755" max="10755"/>
    <col width="10" customWidth="1" style="82" min="10756" max="10756"/>
    <col width="21.5703125" customWidth="1" style="82" min="10757" max="10757"/>
    <col width="22.7109375" customWidth="1" style="82" min="10758" max="10758"/>
    <col width="0.28515625" customWidth="1" style="82" min="10759" max="10759"/>
    <col hidden="1" width="13" customWidth="1" style="82" min="10760" max="10760"/>
    <col width="9.140625" customWidth="1" style="82" min="10761" max="10763"/>
    <col width="14.140625" customWidth="1" style="82" min="10764" max="10764"/>
    <col width="9.140625" customWidth="1" style="82" min="10765" max="11008"/>
    <col width="2" customWidth="1" style="82" min="11009" max="11009"/>
    <col width="5.85546875" customWidth="1" style="82" min="11010" max="11010"/>
    <col width="38.5703125" customWidth="1" style="82" min="11011" max="11011"/>
    <col width="10" customWidth="1" style="82" min="11012" max="11012"/>
    <col width="21.5703125" customWidth="1" style="82" min="11013" max="11013"/>
    <col width="22.7109375" customWidth="1" style="82" min="11014" max="11014"/>
    <col width="0.28515625" customWidth="1" style="82" min="11015" max="11015"/>
    <col hidden="1" width="13" customWidth="1" style="82" min="11016" max="11016"/>
    <col width="9.140625" customWidth="1" style="82" min="11017" max="11019"/>
    <col width="14.140625" customWidth="1" style="82" min="11020" max="11020"/>
    <col width="9.140625" customWidth="1" style="82" min="11021" max="11264"/>
    <col width="2" customWidth="1" style="82" min="11265" max="11265"/>
    <col width="5.85546875" customWidth="1" style="82" min="11266" max="11266"/>
    <col width="38.5703125" customWidth="1" style="82" min="11267" max="11267"/>
    <col width="10" customWidth="1" style="82" min="11268" max="11268"/>
    <col width="21.5703125" customWidth="1" style="82" min="11269" max="11269"/>
    <col width="22.7109375" customWidth="1" style="82" min="11270" max="11270"/>
    <col width="0.28515625" customWidth="1" style="82" min="11271" max="11271"/>
    <col hidden="1" width="13" customWidth="1" style="82" min="11272" max="11272"/>
    <col width="9.140625" customWidth="1" style="82" min="11273" max="11275"/>
    <col width="14.140625" customWidth="1" style="82" min="11276" max="11276"/>
    <col width="9.140625" customWidth="1" style="82" min="11277" max="11520"/>
    <col width="2" customWidth="1" style="82" min="11521" max="11521"/>
    <col width="5.85546875" customWidth="1" style="82" min="11522" max="11522"/>
    <col width="38.5703125" customWidth="1" style="82" min="11523" max="11523"/>
    <col width="10" customWidth="1" style="82" min="11524" max="11524"/>
    <col width="21.5703125" customWidth="1" style="82" min="11525" max="11525"/>
    <col width="22.7109375" customWidth="1" style="82" min="11526" max="11526"/>
    <col width="0.28515625" customWidth="1" style="82" min="11527" max="11527"/>
    <col hidden="1" width="13" customWidth="1" style="82" min="11528" max="11528"/>
    <col width="9.140625" customWidth="1" style="82" min="11529" max="11531"/>
    <col width="14.140625" customWidth="1" style="82" min="11532" max="11532"/>
    <col width="9.140625" customWidth="1" style="82" min="11533" max="11776"/>
    <col width="2" customWidth="1" style="82" min="11777" max="11777"/>
    <col width="5.85546875" customWidth="1" style="82" min="11778" max="11778"/>
    <col width="38.5703125" customWidth="1" style="82" min="11779" max="11779"/>
    <col width="10" customWidth="1" style="82" min="11780" max="11780"/>
    <col width="21.5703125" customWidth="1" style="82" min="11781" max="11781"/>
    <col width="22.7109375" customWidth="1" style="82" min="11782" max="11782"/>
    <col width="0.28515625" customWidth="1" style="82" min="11783" max="11783"/>
    <col hidden="1" width="13" customWidth="1" style="82" min="11784" max="11784"/>
    <col width="9.140625" customWidth="1" style="82" min="11785" max="11787"/>
    <col width="14.140625" customWidth="1" style="82" min="11788" max="11788"/>
    <col width="9.140625" customWidth="1" style="82" min="11789" max="12032"/>
    <col width="2" customWidth="1" style="82" min="12033" max="12033"/>
    <col width="5.85546875" customWidth="1" style="82" min="12034" max="12034"/>
    <col width="38.5703125" customWidth="1" style="82" min="12035" max="12035"/>
    <col width="10" customWidth="1" style="82" min="12036" max="12036"/>
    <col width="21.5703125" customWidth="1" style="82" min="12037" max="12037"/>
    <col width="22.7109375" customWidth="1" style="82" min="12038" max="12038"/>
    <col width="0.28515625" customWidth="1" style="82" min="12039" max="12039"/>
    <col hidden="1" width="13" customWidth="1" style="82" min="12040" max="12040"/>
    <col width="9.140625" customWidth="1" style="82" min="12041" max="12043"/>
    <col width="14.140625" customWidth="1" style="82" min="12044" max="12044"/>
    <col width="9.140625" customWidth="1" style="82" min="12045" max="12288"/>
    <col width="2" customWidth="1" style="82" min="12289" max="12289"/>
    <col width="5.85546875" customWidth="1" style="82" min="12290" max="12290"/>
    <col width="38.5703125" customWidth="1" style="82" min="12291" max="12291"/>
    <col width="10" customWidth="1" style="82" min="12292" max="12292"/>
    <col width="21.5703125" customWidth="1" style="82" min="12293" max="12293"/>
    <col width="22.7109375" customWidth="1" style="82" min="12294" max="12294"/>
    <col width="0.28515625" customWidth="1" style="82" min="12295" max="12295"/>
    <col hidden="1" width="13" customWidth="1" style="82" min="12296" max="12296"/>
    <col width="9.140625" customWidth="1" style="82" min="12297" max="12299"/>
    <col width="14.140625" customWidth="1" style="82" min="12300" max="12300"/>
    <col width="9.140625" customWidth="1" style="82" min="12301" max="12544"/>
    <col width="2" customWidth="1" style="82" min="12545" max="12545"/>
    <col width="5.85546875" customWidth="1" style="82" min="12546" max="12546"/>
    <col width="38.5703125" customWidth="1" style="82" min="12547" max="12547"/>
    <col width="10" customWidth="1" style="82" min="12548" max="12548"/>
    <col width="21.5703125" customWidth="1" style="82" min="12549" max="12549"/>
    <col width="22.7109375" customWidth="1" style="82" min="12550" max="12550"/>
    <col width="0.28515625" customWidth="1" style="82" min="12551" max="12551"/>
    <col hidden="1" width="13" customWidth="1" style="82" min="12552" max="12552"/>
    <col width="9.140625" customWidth="1" style="82" min="12553" max="12555"/>
    <col width="14.140625" customWidth="1" style="82" min="12556" max="12556"/>
    <col width="9.140625" customWidth="1" style="82" min="12557" max="12800"/>
    <col width="2" customWidth="1" style="82" min="12801" max="12801"/>
    <col width="5.85546875" customWidth="1" style="82" min="12802" max="12802"/>
    <col width="38.5703125" customWidth="1" style="82" min="12803" max="12803"/>
    <col width="10" customWidth="1" style="82" min="12804" max="12804"/>
    <col width="21.5703125" customWidth="1" style="82" min="12805" max="12805"/>
    <col width="22.7109375" customWidth="1" style="82" min="12806" max="12806"/>
    <col width="0.28515625" customWidth="1" style="82" min="12807" max="12807"/>
    <col hidden="1" width="13" customWidth="1" style="82" min="12808" max="12808"/>
    <col width="9.140625" customWidth="1" style="82" min="12809" max="12811"/>
    <col width="14.140625" customWidth="1" style="82" min="12812" max="12812"/>
    <col width="9.140625" customWidth="1" style="82" min="12813" max="13056"/>
    <col width="2" customWidth="1" style="82" min="13057" max="13057"/>
    <col width="5.85546875" customWidth="1" style="82" min="13058" max="13058"/>
    <col width="38.5703125" customWidth="1" style="82" min="13059" max="13059"/>
    <col width="10" customWidth="1" style="82" min="13060" max="13060"/>
    <col width="21.5703125" customWidth="1" style="82" min="13061" max="13061"/>
    <col width="22.7109375" customWidth="1" style="82" min="13062" max="13062"/>
    <col width="0.28515625" customWidth="1" style="82" min="13063" max="13063"/>
    <col hidden="1" width="13" customWidth="1" style="82" min="13064" max="13064"/>
    <col width="9.140625" customWidth="1" style="82" min="13065" max="13067"/>
    <col width="14.140625" customWidth="1" style="82" min="13068" max="13068"/>
    <col width="9.140625" customWidth="1" style="82" min="13069" max="13312"/>
    <col width="2" customWidth="1" style="82" min="13313" max="13313"/>
    <col width="5.85546875" customWidth="1" style="82" min="13314" max="13314"/>
    <col width="38.5703125" customWidth="1" style="82" min="13315" max="13315"/>
    <col width="10" customWidth="1" style="82" min="13316" max="13316"/>
    <col width="21.5703125" customWidth="1" style="82" min="13317" max="13317"/>
    <col width="22.7109375" customWidth="1" style="82" min="13318" max="13318"/>
    <col width="0.28515625" customWidth="1" style="82" min="13319" max="13319"/>
    <col hidden="1" width="13" customWidth="1" style="82" min="13320" max="13320"/>
    <col width="9.140625" customWidth="1" style="82" min="13321" max="13323"/>
    <col width="14.140625" customWidth="1" style="82" min="13324" max="13324"/>
    <col width="9.140625" customWidth="1" style="82" min="13325" max="13568"/>
    <col width="2" customWidth="1" style="82" min="13569" max="13569"/>
    <col width="5.85546875" customWidth="1" style="82" min="13570" max="13570"/>
    <col width="38.5703125" customWidth="1" style="82" min="13571" max="13571"/>
    <col width="10" customWidth="1" style="82" min="13572" max="13572"/>
    <col width="21.5703125" customWidth="1" style="82" min="13573" max="13573"/>
    <col width="22.7109375" customWidth="1" style="82" min="13574" max="13574"/>
    <col width="0.28515625" customWidth="1" style="82" min="13575" max="13575"/>
    <col hidden="1" width="13" customWidth="1" style="82" min="13576" max="13576"/>
    <col width="9.140625" customWidth="1" style="82" min="13577" max="13579"/>
    <col width="14.140625" customWidth="1" style="82" min="13580" max="13580"/>
    <col width="9.140625" customWidth="1" style="82" min="13581" max="13824"/>
    <col width="2" customWidth="1" style="82" min="13825" max="13825"/>
    <col width="5.85546875" customWidth="1" style="82" min="13826" max="13826"/>
    <col width="38.5703125" customWidth="1" style="82" min="13827" max="13827"/>
    <col width="10" customWidth="1" style="82" min="13828" max="13828"/>
    <col width="21.5703125" customWidth="1" style="82" min="13829" max="13829"/>
    <col width="22.7109375" customWidth="1" style="82" min="13830" max="13830"/>
    <col width="0.28515625" customWidth="1" style="82" min="13831" max="13831"/>
    <col hidden="1" width="13" customWidth="1" style="82" min="13832" max="13832"/>
    <col width="9.140625" customWidth="1" style="82" min="13833" max="13835"/>
    <col width="14.140625" customWidth="1" style="82" min="13836" max="13836"/>
    <col width="9.140625" customWidth="1" style="82" min="13837" max="14080"/>
    <col width="2" customWidth="1" style="82" min="14081" max="14081"/>
    <col width="5.85546875" customWidth="1" style="82" min="14082" max="14082"/>
    <col width="38.5703125" customWidth="1" style="82" min="14083" max="14083"/>
    <col width="10" customWidth="1" style="82" min="14084" max="14084"/>
    <col width="21.5703125" customWidth="1" style="82" min="14085" max="14085"/>
    <col width="22.7109375" customWidth="1" style="82" min="14086" max="14086"/>
    <col width="0.28515625" customWidth="1" style="82" min="14087" max="14087"/>
    <col hidden="1" width="13" customWidth="1" style="82" min="14088" max="14088"/>
    <col width="9.140625" customWidth="1" style="82" min="14089" max="14091"/>
    <col width="14.140625" customWidth="1" style="82" min="14092" max="14092"/>
    <col width="9.140625" customWidth="1" style="82" min="14093" max="14336"/>
    <col width="2" customWidth="1" style="82" min="14337" max="14337"/>
    <col width="5.85546875" customWidth="1" style="82" min="14338" max="14338"/>
    <col width="38.5703125" customWidth="1" style="82" min="14339" max="14339"/>
    <col width="10" customWidth="1" style="82" min="14340" max="14340"/>
    <col width="21.5703125" customWidth="1" style="82" min="14341" max="14341"/>
    <col width="22.7109375" customWidth="1" style="82" min="14342" max="14342"/>
    <col width="0.28515625" customWidth="1" style="82" min="14343" max="14343"/>
    <col hidden="1" width="13" customWidth="1" style="82" min="14344" max="14344"/>
    <col width="9.140625" customWidth="1" style="82" min="14345" max="14347"/>
    <col width="14.140625" customWidth="1" style="82" min="14348" max="14348"/>
    <col width="9.140625" customWidth="1" style="82" min="14349" max="14592"/>
    <col width="2" customWidth="1" style="82" min="14593" max="14593"/>
    <col width="5.85546875" customWidth="1" style="82" min="14594" max="14594"/>
    <col width="38.5703125" customWidth="1" style="82" min="14595" max="14595"/>
    <col width="10" customWidth="1" style="82" min="14596" max="14596"/>
    <col width="21.5703125" customWidth="1" style="82" min="14597" max="14597"/>
    <col width="22.7109375" customWidth="1" style="82" min="14598" max="14598"/>
    <col width="0.28515625" customWidth="1" style="82" min="14599" max="14599"/>
    <col hidden="1" width="13" customWidth="1" style="82" min="14600" max="14600"/>
    <col width="9.140625" customWidth="1" style="82" min="14601" max="14603"/>
    <col width="14.140625" customWidth="1" style="82" min="14604" max="14604"/>
    <col width="9.140625" customWidth="1" style="82" min="14605" max="14848"/>
    <col width="2" customWidth="1" style="82" min="14849" max="14849"/>
    <col width="5.85546875" customWidth="1" style="82" min="14850" max="14850"/>
    <col width="38.5703125" customWidth="1" style="82" min="14851" max="14851"/>
    <col width="10" customWidth="1" style="82" min="14852" max="14852"/>
    <col width="21.5703125" customWidth="1" style="82" min="14853" max="14853"/>
    <col width="22.7109375" customWidth="1" style="82" min="14854" max="14854"/>
    <col width="0.28515625" customWidth="1" style="82" min="14855" max="14855"/>
    <col hidden="1" width="13" customWidth="1" style="82" min="14856" max="14856"/>
    <col width="9.140625" customWidth="1" style="82" min="14857" max="14859"/>
    <col width="14.140625" customWidth="1" style="82" min="14860" max="14860"/>
    <col width="9.140625" customWidth="1" style="82" min="14861" max="15104"/>
    <col width="2" customWidth="1" style="82" min="15105" max="15105"/>
    <col width="5.85546875" customWidth="1" style="82" min="15106" max="15106"/>
    <col width="38.5703125" customWidth="1" style="82" min="15107" max="15107"/>
    <col width="10" customWidth="1" style="82" min="15108" max="15108"/>
    <col width="21.5703125" customWidth="1" style="82" min="15109" max="15109"/>
    <col width="22.7109375" customWidth="1" style="82" min="15110" max="15110"/>
    <col width="0.28515625" customWidth="1" style="82" min="15111" max="15111"/>
    <col hidden="1" width="13" customWidth="1" style="82" min="15112" max="15112"/>
    <col width="9.140625" customWidth="1" style="82" min="15113" max="15115"/>
    <col width="14.140625" customWidth="1" style="82" min="15116" max="15116"/>
    <col width="9.140625" customWidth="1" style="82" min="15117" max="15360"/>
    <col width="2" customWidth="1" style="82" min="15361" max="15361"/>
    <col width="5.85546875" customWidth="1" style="82" min="15362" max="15362"/>
    <col width="38.5703125" customWidth="1" style="82" min="15363" max="15363"/>
    <col width="10" customWidth="1" style="82" min="15364" max="15364"/>
    <col width="21.5703125" customWidth="1" style="82" min="15365" max="15365"/>
    <col width="22.7109375" customWidth="1" style="82" min="15366" max="15366"/>
    <col width="0.28515625" customWidth="1" style="82" min="15367" max="15367"/>
    <col hidden="1" width="13" customWidth="1" style="82" min="15368" max="15368"/>
    <col width="9.140625" customWidth="1" style="82" min="15369" max="15371"/>
    <col width="14.140625" customWidth="1" style="82" min="15372" max="15372"/>
    <col width="9.140625" customWidth="1" style="82" min="15373" max="15616"/>
    <col width="2" customWidth="1" style="82" min="15617" max="15617"/>
    <col width="5.85546875" customWidth="1" style="82" min="15618" max="15618"/>
    <col width="38.5703125" customWidth="1" style="82" min="15619" max="15619"/>
    <col width="10" customWidth="1" style="82" min="15620" max="15620"/>
    <col width="21.5703125" customWidth="1" style="82" min="15621" max="15621"/>
    <col width="22.7109375" customWidth="1" style="82" min="15622" max="15622"/>
    <col width="0.28515625" customWidth="1" style="82" min="15623" max="15623"/>
    <col hidden="1" width="13" customWidth="1" style="82" min="15624" max="15624"/>
    <col width="9.140625" customWidth="1" style="82" min="15625" max="15627"/>
    <col width="14.140625" customWidth="1" style="82" min="15628" max="15628"/>
    <col width="9.140625" customWidth="1" style="82" min="15629" max="15872"/>
    <col width="2" customWidth="1" style="82" min="15873" max="15873"/>
    <col width="5.85546875" customWidth="1" style="82" min="15874" max="15874"/>
    <col width="38.5703125" customWidth="1" style="82" min="15875" max="15875"/>
    <col width="10" customWidth="1" style="82" min="15876" max="15876"/>
    <col width="21.5703125" customWidth="1" style="82" min="15877" max="15877"/>
    <col width="22.7109375" customWidth="1" style="82" min="15878" max="15878"/>
    <col width="0.28515625" customWidth="1" style="82" min="15879" max="15879"/>
    <col hidden="1" width="13" customWidth="1" style="82" min="15880" max="15880"/>
    <col width="9.140625" customWidth="1" style="82" min="15881" max="15883"/>
    <col width="14.140625" customWidth="1" style="82" min="15884" max="15884"/>
    <col width="9.140625" customWidth="1" style="82" min="15885" max="16128"/>
    <col width="2" customWidth="1" style="82" min="16129" max="16129"/>
    <col width="5.85546875" customWidth="1" style="82" min="16130" max="16130"/>
    <col width="38.5703125" customWidth="1" style="82" min="16131" max="16131"/>
    <col width="10" customWidth="1" style="82" min="16132" max="16132"/>
    <col width="21.5703125" customWidth="1" style="82" min="16133" max="16133"/>
    <col width="22.7109375" customWidth="1" style="82" min="16134" max="16134"/>
    <col width="0.28515625" customWidth="1" style="82" min="16135" max="16135"/>
    <col hidden="1" width="13" customWidth="1" style="82" min="16136" max="16136"/>
    <col width="9.140625" customWidth="1" style="82" min="16137" max="16139"/>
    <col width="14.140625" customWidth="1" style="82" min="16140" max="16140"/>
    <col width="9.140625" customWidth="1" style="82" min="16141" max="16384"/>
  </cols>
  <sheetData>
    <row r="1" ht="13.5" customHeight="1" s="95">
      <c r="B1" s="20" t="inlineStr">
        <is>
          <t>Исполнитель: ООО "ЯмалСпецЦентр"</t>
        </is>
      </c>
      <c r="C1" s="21" t="n"/>
      <c r="D1" s="8" t="n"/>
      <c r="E1" s="86" t="inlineStr">
        <is>
          <t>Заказчик: АО "Газпромнефть-ННГ"</t>
        </is>
      </c>
      <c r="F1" s="24" t="n"/>
    </row>
    <row r="2" ht="39" customFormat="1" customHeight="1" s="77">
      <c r="B2" s="78" t="inlineStr">
        <is>
          <t>Адрес: 629800, Автономный округ Ямало-Ненецкий, город Ноябрьск, Промзона  Юго-Восточный промузел,  
панель 1-А</t>
        </is>
      </c>
      <c r="E2" s="78" t="inlineStr">
        <is>
          <t>Адрес: 629807, Ямало-Ненецкий автономный округ , 
 г. Ноябрьск, ул. Ленина, д. 59/87</t>
        </is>
      </c>
      <c r="I2" s="16" t="n"/>
      <c r="J2" s="15" t="n"/>
    </row>
    <row r="3" ht="15.75" customFormat="1" customHeight="1" s="77">
      <c r="B3" s="20" t="inlineStr">
        <is>
          <t>ИНН: 8905050637</t>
        </is>
      </c>
      <c r="C3" s="22" t="n"/>
      <c r="E3" s="86" t="inlineStr">
        <is>
          <t>ИНН: 8905000428</t>
        </is>
      </c>
      <c r="F3" s="28" t="n"/>
      <c r="G3" s="15" t="n"/>
      <c r="H3" s="15" t="n"/>
      <c r="I3" s="16" t="n"/>
      <c r="J3" s="15" t="n"/>
    </row>
    <row r="4" ht="10.5" customFormat="1" customHeight="1" s="77">
      <c r="B4" s="20" t="inlineStr">
        <is>
          <t>КПП: 890501001</t>
        </is>
      </c>
      <c r="C4" s="22" t="n"/>
      <c r="D4" s="8" t="n"/>
      <c r="E4" s="86" t="inlineStr">
        <is>
          <t>КПП: 890501001</t>
        </is>
      </c>
      <c r="F4" s="17" t="n"/>
      <c r="G4" s="17" t="n"/>
      <c r="H4" s="17" t="n"/>
    </row>
    <row r="5" ht="13.5" customFormat="1" customHeight="1" s="77">
      <c r="B5" s="85" t="inlineStr">
        <is>
          <t>Банковские реквизиты: р/с 40702810500020010172 
в ф-ле № 6602 Банка ВТБ  (ПАО) г. Екатеринбург,  
к/с 30101810165770000501,  БИК 046577501; 
ОКПО 37991345;ОГРН 1118905006868</t>
        </is>
      </c>
      <c r="D5" s="78" t="n"/>
      <c r="E5" s="84" t="inlineStr">
        <is>
          <t xml:space="preserve">Банковские реквизиты: р/с 40702810100489000321  </t>
        </is>
      </c>
      <c r="G5" s="17" t="n"/>
      <c r="H5" s="17" t="n"/>
    </row>
    <row r="6" ht="45.75" customFormat="1" customHeight="1" s="77">
      <c r="D6" s="78" t="n"/>
      <c r="E6" s="79" t="inlineStr">
        <is>
          <t>Ф-л Банка"ГПБ" (АО) в г. Сургуте, к/с 30101810400000000721,
 ОКПО 05778425, БИК 047144721, ОГРН 10289007003963</t>
        </is>
      </c>
    </row>
    <row r="7" hidden="1" ht="21" customFormat="1" customHeight="1" s="77">
      <c r="B7" s="48" t="n"/>
      <c r="C7" s="48" t="n"/>
      <c r="D7" s="78" t="n"/>
      <c r="E7" s="79" t="n"/>
      <c r="F7" s="79" t="n"/>
      <c r="G7" s="79" t="n"/>
      <c r="H7" s="79" t="n"/>
      <c r="I7" s="79" t="n"/>
    </row>
    <row r="8" ht="6" customFormat="1" customHeight="1" s="77">
      <c r="B8" s="84" t="n"/>
      <c r="D8" s="23" t="n"/>
      <c r="E8" s="79" t="n"/>
      <c r="F8" s="26" t="n"/>
      <c r="G8" s="27" t="n"/>
      <c r="H8" s="27" t="n"/>
      <c r="I8" s="27" t="n"/>
      <c r="J8" s="23" t="n"/>
      <c r="K8" s="23" t="n"/>
    </row>
    <row r="9" ht="13.5" customFormat="1" customHeight="1" s="77">
      <c r="B9" s="84" t="n"/>
      <c r="D9" s="39" t="inlineStr">
        <is>
          <t>АКТ № 509</t>
        </is>
      </c>
      <c r="E9" s="79" t="n"/>
      <c r="F9" s="26" t="n"/>
      <c r="G9" s="27" t="n"/>
      <c r="H9" s="27" t="n"/>
      <c r="I9" s="27" t="n"/>
      <c r="J9" s="23" t="n"/>
      <c r="K9" s="23" t="n"/>
    </row>
    <row r="10" ht="20.25" customFormat="1" customHeight="1" s="77">
      <c r="B10" s="84" t="n"/>
      <c r="C10" s="29" t="n"/>
      <c r="D10" s="29" t="inlineStr">
        <is>
          <t>от "31"декабря 2017 г.</t>
        </is>
      </c>
      <c r="E10" s="30" t="n"/>
      <c r="F10" s="26" t="n"/>
      <c r="G10" s="27" t="n"/>
      <c r="H10" s="27" t="n"/>
      <c r="I10" s="27" t="n"/>
      <c r="J10" s="23" t="n"/>
      <c r="K10" s="23" t="n"/>
    </row>
    <row r="11" ht="13.5" customFormat="1" customHeight="1" s="77">
      <c r="B11" s="84" t="n"/>
      <c r="C11" s="30" t="n"/>
      <c r="D11" s="30" t="inlineStr">
        <is>
          <t>сдачи-приемки оказанных услуг за декабрь  2017 г.</t>
        </is>
      </c>
      <c r="E11" s="30" t="n"/>
      <c r="F11" s="26" t="n"/>
      <c r="G11" s="27" t="n"/>
      <c r="H11" s="27" t="n"/>
      <c r="I11" s="27" t="n"/>
      <c r="J11" s="23" t="n"/>
      <c r="K11" s="23" t="n"/>
    </row>
    <row r="12" ht="10.5" customFormat="1" customHeight="1" s="77">
      <c r="B12" s="84" t="n"/>
      <c r="C12" s="30" t="n"/>
      <c r="D12" s="30" t="n"/>
      <c r="E12" s="30" t="n"/>
      <c r="F12" s="26" t="n"/>
      <c r="G12" s="27" t="n"/>
      <c r="H12" s="27" t="n"/>
      <c r="I12" s="27" t="n"/>
      <c r="J12" s="23" t="n"/>
      <c r="K12" s="23" t="n"/>
    </row>
    <row r="13" ht="14.25" customFormat="1" customHeight="1" s="77">
      <c r="B13" s="31" t="inlineStr">
        <is>
          <t>составлен в том, что "Исполнитель" согласно договору №  ННГ-15/11301/00251/Р  от 22.10.2015 г.</t>
        </is>
      </c>
      <c r="C13" s="22" t="n"/>
      <c r="D13" s="22" t="n"/>
      <c r="E13" s="22" t="n"/>
      <c r="F13" s="22" t="n"/>
      <c r="G13" s="23" t="n"/>
      <c r="H13" s="23" t="n"/>
      <c r="I13" s="23" t="n"/>
      <c r="J13" s="23" t="n"/>
      <c r="K13" s="23" t="n"/>
    </row>
    <row r="14" customFormat="1" s="77">
      <c r="B14" s="31" t="inlineStr">
        <is>
          <t>оказал услуги для АО "Газпромнефть-ННГ"</t>
        </is>
      </c>
      <c r="C14" s="22" t="n"/>
      <c r="D14" s="22" t="n"/>
      <c r="E14" s="22" t="n"/>
      <c r="F14" s="22" t="n"/>
    </row>
    <row r="15" ht="2.25" customFormat="1" customHeight="1" s="77">
      <c r="B15" s="3" t="n"/>
      <c r="C15" s="8" t="n"/>
      <c r="D15" s="8" t="n"/>
    </row>
    <row r="16" ht="12.75" customHeight="1" s="95">
      <c r="B16" s="81" t="inlineStr">
        <is>
          <t>№ п\п</t>
        </is>
      </c>
      <c r="C16" s="81" t="inlineStr">
        <is>
          <t>Наименование услуги</t>
        </is>
      </c>
      <c r="D16" s="81" t="inlineStr">
        <is>
          <t>Кол-во оборудования ед</t>
        </is>
      </c>
      <c r="E16" s="81" t="inlineStr">
        <is>
          <t>Цена 
за ед., руб.</t>
        </is>
      </c>
      <c r="F16" s="81" t="inlineStr">
        <is>
          <t>Стоимость услуг
руб.</t>
        </is>
      </c>
      <c r="G16" s="81" t="n"/>
      <c r="J16" s="3" t="n"/>
    </row>
    <row r="17" ht="12.75" customHeight="1" s="95">
      <c r="G17" s="81" t="n"/>
      <c r="J17" s="3" t="n"/>
    </row>
    <row r="18" ht="27.75" customHeight="1" s="95">
      <c r="G18" s="81" t="n"/>
      <c r="J18" s="3" t="n"/>
    </row>
    <row r="19" ht="18" customHeight="1" s="95">
      <c r="B19" s="81" t="n">
        <v>1</v>
      </c>
      <c r="C19" s="81" t="n">
        <v>2</v>
      </c>
      <c r="D19" s="81" t="n">
        <v>3</v>
      </c>
      <c r="E19" s="81" t="n">
        <v>4</v>
      </c>
      <c r="F19" s="81" t="n">
        <v>5</v>
      </c>
      <c r="G19" s="81" t="n"/>
      <c r="J19" s="81" t="n"/>
    </row>
    <row r="20" ht="15.75" customHeight="1" s="95">
      <c r="B20" s="84" t="inlineStr">
        <is>
          <t>Западно-Ноябрьское, Средне-Итурское, Спорышевское месторождения</t>
        </is>
      </c>
      <c r="C20" s="81" t="n"/>
      <c r="D20" s="81" t="n"/>
      <c r="E20" s="81" t="n"/>
      <c r="F20" s="81" t="n"/>
      <c r="G20" s="81" t="n"/>
      <c r="J20" s="81" t="n"/>
    </row>
    <row r="21" ht="14.25" customHeight="1" s="95">
      <c r="B21" s="82" t="inlineStr">
        <is>
          <t>Сервисное обслуживание</t>
        </is>
      </c>
      <c r="C21" s="41" t="n"/>
      <c r="D21" s="81" t="n"/>
      <c r="E21" s="8" t="n"/>
      <c r="F21" s="81" t="n"/>
    </row>
    <row r="22" ht="15" customHeight="1" s="95">
      <c r="B22" s="81" t="n">
        <v>1</v>
      </c>
      <c r="C22" s="78" t="inlineStr">
        <is>
          <t>Насос 12НА9/4; 12НА22/6</t>
        </is>
      </c>
      <c r="D22" s="45" t="n"/>
      <c r="E22" s="45" t="n">
        <v>1300.55</v>
      </c>
      <c r="F22" s="81">
        <f>E22*D22</f>
        <v/>
      </c>
    </row>
    <row r="23" ht="15" customHeight="1" s="95">
      <c r="B23" s="81" t="n">
        <v>2</v>
      </c>
      <c r="C23" s="78" t="inlineStr">
        <is>
          <t>Насос дозировочный типа ДП,НД</t>
        </is>
      </c>
      <c r="D23" s="81" t="n"/>
      <c r="E23" s="81" t="n">
        <v>1388.2</v>
      </c>
      <c r="F23" s="81">
        <f>E23*D23</f>
        <v/>
      </c>
    </row>
    <row r="24" ht="21" customHeight="1" s="95">
      <c r="B24" s="81" t="n">
        <v>3</v>
      </c>
      <c r="C24" s="78" t="inlineStr">
        <is>
          <t>Насос НВ 50/50; НВ 50/80; НВЕ 50/50; НВЕ 50/80</t>
        </is>
      </c>
      <c r="D24" s="81" t="n"/>
      <c r="E24" s="81" t="n">
        <v>1022.97</v>
      </c>
      <c r="F24" s="81">
        <f>E24*D24</f>
        <v/>
      </c>
    </row>
    <row r="25" ht="15" customHeight="1" s="95">
      <c r="B25" s="81" t="n">
        <v>4</v>
      </c>
      <c r="C25" s="78" t="inlineStr">
        <is>
          <t>Насос ЦНС-300/120…600</t>
        </is>
      </c>
      <c r="D25" s="81" t="n"/>
      <c r="E25" s="81" t="n">
        <v>13437.21</v>
      </c>
      <c r="F25" s="81">
        <f>E25*D25</f>
        <v/>
      </c>
    </row>
    <row r="26" ht="15" customHeight="1" s="95">
      <c r="B26" s="81" t="n">
        <v>5</v>
      </c>
      <c r="C26" s="78" t="inlineStr">
        <is>
          <t>Насос ЦНС-38/44…220</t>
        </is>
      </c>
      <c r="D26" s="81" t="n"/>
      <c r="E26" s="81" t="n">
        <v>6070.81</v>
      </c>
      <c r="F26" s="81">
        <f>E26*D26</f>
        <v/>
      </c>
    </row>
    <row r="27" ht="18.75" customHeight="1" s="95">
      <c r="B27" s="81" t="n">
        <v>6</v>
      </c>
      <c r="C27" s="78" t="inlineStr">
        <is>
          <t>Насос 1Д630/90</t>
        </is>
      </c>
      <c r="D27" s="81" t="n"/>
      <c r="E27" s="81" t="n">
        <v>4773.79</v>
      </c>
      <c r="F27" s="81">
        <f>E27*D27</f>
        <v/>
      </c>
    </row>
    <row r="28" ht="45.75" customHeight="1" s="95">
      <c r="B28" s="81" t="n">
        <v>7</v>
      </c>
      <c r="C28" s="78" t="inlineStr">
        <is>
          <t>Насос К 8-18; К 20-30; К 50-30;К 65-50-160; К 65-40-100; К 65-50-160; К 80-50-200; КМН 80-65-175; К 100-80-160; К 100-65-200; КМ 160-65-200; 3Т13Н</t>
        </is>
      </c>
      <c r="D28" s="45" t="n"/>
      <c r="E28" s="45" t="n">
        <v>778.17</v>
      </c>
      <c r="F28" s="81">
        <f>E28*D28</f>
        <v/>
      </c>
    </row>
    <row r="29" ht="15" customHeight="1" s="95">
      <c r="B29" s="81" t="n">
        <v>8</v>
      </c>
      <c r="C29" s="78" t="inlineStr">
        <is>
          <t>Насос НМШ 5/25</t>
        </is>
      </c>
      <c r="D29" s="45" t="n"/>
      <c r="E29" s="45" t="n">
        <v>576.9</v>
      </c>
      <c r="F29" s="81">
        <f>E29*D29</f>
        <v/>
      </c>
    </row>
    <row r="30" ht="15" customHeight="1" s="95">
      <c r="B30" s="81" t="n">
        <v>9</v>
      </c>
      <c r="C30" s="78" t="inlineStr">
        <is>
          <t>Насос 1Д630/125</t>
        </is>
      </c>
      <c r="D30" s="81" t="n"/>
      <c r="E30" s="81" t="n">
        <v>4773.79</v>
      </c>
      <c r="F30" s="81">
        <f>E30*D30</f>
        <v/>
      </c>
    </row>
    <row r="31" ht="15" customHeight="1" s="95">
      <c r="B31" s="81" t="n">
        <v>10</v>
      </c>
      <c r="C31" s="78" t="inlineStr">
        <is>
          <t>Насос АХП 45/31</t>
        </is>
      </c>
      <c r="D31" s="45" t="n"/>
      <c r="E31" s="45" t="n">
        <v>969.65</v>
      </c>
      <c r="F31" s="81">
        <f>E31*D31</f>
        <v/>
      </c>
    </row>
    <row r="32" ht="15" customHeight="1" s="95">
      <c r="B32" s="81" t="n">
        <v>11</v>
      </c>
      <c r="C32" s="78" t="inlineStr">
        <is>
          <t>Насос дозировочный типа PAX 32/12; PIAX 32/28</t>
        </is>
      </c>
      <c r="D32" s="45" t="n"/>
      <c r="E32" s="45" t="n">
        <v>2321.79</v>
      </c>
      <c r="F32" s="81" t="n"/>
    </row>
    <row r="33" ht="15" customHeight="1" s="95">
      <c r="B33" s="81" t="n">
        <v>12</v>
      </c>
      <c r="C33" s="78" t="inlineStr">
        <is>
          <t>Насос НМШ 8/25</t>
        </is>
      </c>
      <c r="D33" s="45" t="n"/>
      <c r="E33" s="45" t="n">
        <v>576.9</v>
      </c>
      <c r="F33" s="81" t="n"/>
    </row>
    <row r="34" ht="15" customHeight="1" s="95">
      <c r="B34" s="81" t="n">
        <v>13</v>
      </c>
      <c r="C34" s="78" t="inlineStr">
        <is>
          <t>Насос ЦВК 6,3/160</t>
        </is>
      </c>
      <c r="D34" s="45" t="n"/>
      <c r="E34" s="45" t="n">
        <v>1210.41</v>
      </c>
      <c r="F34" s="81" t="n"/>
    </row>
    <row r="35" ht="15" customHeight="1" s="95">
      <c r="B35" s="81" t="n">
        <v>14</v>
      </c>
      <c r="C35" s="78" t="inlineStr">
        <is>
          <t>Насос ЦНС 40/1400</t>
        </is>
      </c>
      <c r="D35" s="45" t="n"/>
      <c r="E35" s="45" t="n">
        <v>17894.24</v>
      </c>
      <c r="F35" s="81" t="n"/>
    </row>
    <row r="36" ht="15" customHeight="1" s="95">
      <c r="B36" s="81" t="n">
        <v>15</v>
      </c>
      <c r="C36" s="78" t="inlineStr">
        <is>
          <t>Насос ЦГ 6,3/32</t>
        </is>
      </c>
      <c r="D36" s="45" t="n"/>
      <c r="E36" s="45" t="n">
        <v>2017.99</v>
      </c>
      <c r="F36" s="81" t="n"/>
    </row>
    <row r="37" ht="15" customHeight="1" s="95">
      <c r="B37" s="81" t="n">
        <v>16</v>
      </c>
      <c r="C37" s="78" t="inlineStr">
        <is>
          <t>Насос ЦНС-105/98…490</t>
        </is>
      </c>
      <c r="D37" s="45" t="n"/>
      <c r="E37" s="45" t="n">
        <v>11244.09</v>
      </c>
      <c r="F37" s="81" t="n"/>
    </row>
    <row r="38" ht="15" customHeight="1" s="95">
      <c r="B38" s="81" t="n">
        <v>17</v>
      </c>
      <c r="C38" s="78" t="inlineStr">
        <is>
          <t>Насос НПВ  1250/60</t>
        </is>
      </c>
      <c r="D38" s="45" t="n"/>
      <c r="E38" s="45" t="n">
        <v>7812.42</v>
      </c>
      <c r="F38" s="81" t="n"/>
    </row>
    <row r="39" ht="15" customHeight="1" s="95">
      <c r="B39" s="81" t="n">
        <v>18</v>
      </c>
      <c r="C39" s="78" t="inlineStr">
        <is>
          <t>Насос ЦНС 180/1422...1900 2 ТМ</t>
        </is>
      </c>
      <c r="D39" s="45" t="n"/>
      <c r="E39" s="45" t="n">
        <v>17894.24</v>
      </c>
      <c r="F39" s="81" t="n"/>
    </row>
    <row r="40" ht="15" customHeight="1" s="95">
      <c r="B40" s="81" t="n">
        <v>19</v>
      </c>
      <c r="C40" s="78" t="inlineStr">
        <is>
          <t>Насос ЦНС 240/1422…1900 ЗК</t>
        </is>
      </c>
      <c r="D40" s="45" t="n"/>
      <c r="E40" s="45" t="n">
        <v>16393.97</v>
      </c>
      <c r="F40" s="81" t="n"/>
    </row>
    <row r="41" ht="15" customHeight="1" s="95">
      <c r="B41" s="81" t="n">
        <v>20</v>
      </c>
      <c r="C41" s="78" t="inlineStr">
        <is>
          <t>Насос ЦНС-180/1422…1900</t>
        </is>
      </c>
      <c r="D41" s="45" t="n"/>
      <c r="E41" s="45" t="n">
        <v>17894.24</v>
      </c>
      <c r="F41" s="81" t="n"/>
    </row>
    <row r="42" ht="15" customHeight="1" s="95">
      <c r="B42" s="81" t="n">
        <v>21</v>
      </c>
      <c r="C42" s="78" t="inlineStr">
        <is>
          <t>Насос ЦНС 240/1422...1900 2 ТМ</t>
        </is>
      </c>
      <c r="D42" s="45" t="n"/>
      <c r="E42" s="45" t="n">
        <v>41616.5</v>
      </c>
      <c r="F42" s="81" t="n"/>
    </row>
    <row r="43" ht="15" customHeight="1" s="95">
      <c r="B43" s="81" t="n">
        <v>22</v>
      </c>
      <c r="C43" s="78" t="inlineStr">
        <is>
          <t>Насос ВКС 2/26</t>
        </is>
      </c>
      <c r="D43" s="45" t="n"/>
      <c r="E43" s="45" t="n">
        <v>863.15</v>
      </c>
      <c r="F43" s="81" t="n"/>
    </row>
    <row r="44" ht="15" customHeight="1" s="95">
      <c r="B44" s="81" t="n">
        <v>23</v>
      </c>
      <c r="C44" s="78" t="inlineStr">
        <is>
          <t>Насос 1Д200/90; 4Д200/90; 1Д250/125</t>
        </is>
      </c>
      <c r="D44" s="45" t="n"/>
      <c r="E44" s="45" t="n">
        <v>4773.79</v>
      </c>
      <c r="F44" s="81" t="n"/>
    </row>
    <row r="45" ht="15" customHeight="1" s="95">
      <c r="B45" s="81" t="n">
        <v>24</v>
      </c>
      <c r="C45" s="78" t="inlineStr">
        <is>
          <t>Насос ЦНС-60/66…330</t>
        </is>
      </c>
      <c r="D45" s="45" t="n"/>
      <c r="E45" s="45" t="n">
        <v>7879.33</v>
      </c>
      <c r="F45" s="81" t="n"/>
    </row>
    <row r="46" ht="15" customHeight="1" s="95">
      <c r="B46" s="81" t="n">
        <v>25</v>
      </c>
      <c r="C46" s="78" t="inlineStr">
        <is>
          <t xml:space="preserve"> Насос 1Д315/71; 1Д320/70</t>
        </is>
      </c>
      <c r="D46" s="45" t="n"/>
      <c r="E46" s="45" t="n">
        <v>4773.79</v>
      </c>
      <c r="F46" s="81" t="n"/>
    </row>
    <row r="47" ht="15" customHeight="1" s="95">
      <c r="B47" s="81" t="n">
        <v>26</v>
      </c>
      <c r="C47" s="78" t="inlineStr">
        <is>
          <t>Насос НВД 50/50; НВД 50/80; НВД 35/90</t>
        </is>
      </c>
      <c r="D47" s="45" t="n"/>
      <c r="E47" s="45" t="n">
        <v>1332.63</v>
      </c>
      <c r="F47" s="81" t="n"/>
    </row>
    <row r="48" ht="15" customHeight="1" s="95">
      <c r="B48" s="81" t="n">
        <v>27</v>
      </c>
      <c r="C48" s="78" t="inlineStr">
        <is>
          <t>Насос 1Д1250/90-125</t>
        </is>
      </c>
      <c r="D48" s="45" t="n"/>
      <c r="E48" s="45" t="n">
        <v>5292.31</v>
      </c>
      <c r="F48" s="81" t="n"/>
    </row>
    <row r="49" ht="15" customHeight="1" s="95">
      <c r="B49" s="81" t="n">
        <v>28</v>
      </c>
      <c r="C49" s="78" t="inlineStr">
        <is>
          <t>Насос ЦНС-180/85…425</t>
        </is>
      </c>
      <c r="D49" s="45" t="n"/>
      <c r="E49" s="45" t="n">
        <v>11898.95</v>
      </c>
      <c r="F49" s="81" t="n"/>
    </row>
    <row r="50" ht="15" customHeight="1" s="95">
      <c r="B50" s="81" t="n">
        <v>29</v>
      </c>
      <c r="C50" s="78" t="inlineStr">
        <is>
          <t>Насос ЦНС 240/1900 3ТМ</t>
        </is>
      </c>
      <c r="D50" s="45" t="n"/>
      <c r="E50" s="45" t="n">
        <v>44289.38</v>
      </c>
      <c r="F50" s="81" t="n"/>
    </row>
    <row r="51" ht="15" customHeight="1" s="95">
      <c r="B51" s="81" t="n">
        <v>30</v>
      </c>
      <c r="C51" s="78" t="inlineStr">
        <is>
          <t>Насос BUL 6,3/64</t>
        </is>
      </c>
      <c r="D51" s="45" t="n"/>
      <c r="E51" s="45" t="n">
        <v>639.91</v>
      </c>
      <c r="F51" s="81" t="n"/>
    </row>
    <row r="52" ht="15" customHeight="1" s="95">
      <c r="B52" s="81" t="n">
        <v>31</v>
      </c>
      <c r="C52" s="78" t="inlineStr">
        <is>
          <t>Насос 200Д90(200Д/60)</t>
        </is>
      </c>
      <c r="D52" s="45" t="n"/>
      <c r="E52" s="45" t="n">
        <v>3722.29</v>
      </c>
      <c r="F52" s="81" t="n"/>
    </row>
    <row r="53" ht="25.5" customHeight="1" s="95">
      <c r="B53" s="81" t="n">
        <v>32</v>
      </c>
      <c r="C53" s="78" t="inlineStr">
        <is>
          <t>Насос KRGH 80/315;KRGH 200/500; KRGH 125/80/315</t>
        </is>
      </c>
      <c r="D53" s="45" t="n"/>
      <c r="E53" s="45" t="n">
        <v>4297.48</v>
      </c>
      <c r="F53" s="81" t="n"/>
    </row>
    <row r="54" ht="15" customHeight="1" s="95">
      <c r="B54" s="81" t="n">
        <v>33</v>
      </c>
      <c r="C54" s="78" t="inlineStr">
        <is>
          <t>Насос ГХИ 6,3/32</t>
        </is>
      </c>
      <c r="D54" s="45" t="n"/>
      <c r="E54" s="45" t="n">
        <v>2017.99</v>
      </c>
      <c r="F54" s="81" t="n"/>
    </row>
    <row r="55" ht="15" customHeight="1" s="95">
      <c r="B55" s="81" t="n">
        <v>34</v>
      </c>
      <c r="C55" s="78" t="inlineStr">
        <is>
          <t>Насос ЦНС 180/1422…1900 ЗК</t>
        </is>
      </c>
      <c r="D55" s="45" t="n"/>
      <c r="E55" s="45" t="n">
        <v>16393.97</v>
      </c>
      <c r="F55" s="81" t="n"/>
    </row>
    <row r="56" ht="15" customHeight="1" s="95">
      <c r="B56" s="81" t="n">
        <v>35</v>
      </c>
      <c r="C56" s="50" t="inlineStr">
        <is>
          <t>Насос 1Д500/63б</t>
        </is>
      </c>
      <c r="D56" s="45" t="n"/>
      <c r="E56" s="45" t="n">
        <v>4773.79</v>
      </c>
      <c r="F56" s="81">
        <f>E56*D56</f>
        <v/>
      </c>
    </row>
    <row r="57" ht="12.75" customHeight="1" s="95">
      <c r="B57" s="81" t="n">
        <v>36</v>
      </c>
      <c r="C57" s="51" t="inlineStr">
        <is>
          <t>Насос CRE20-01 G-F-A-E-HQQE</t>
        </is>
      </c>
      <c r="D57" s="45" t="n"/>
      <c r="E57" s="45" t="n">
        <v>5556.93</v>
      </c>
      <c r="F57" s="81">
        <f>E57*D57</f>
        <v/>
      </c>
    </row>
    <row r="58" ht="15" customHeight="1" s="95">
      <c r="B58" s="81" t="n">
        <v>37</v>
      </c>
      <c r="C58" s="50" t="inlineStr">
        <is>
          <t>Насос CR15-02 A-F-A-E-HQQE</t>
        </is>
      </c>
      <c r="D58" s="45" t="n"/>
      <c r="E58" s="45" t="n">
        <v>5556.93</v>
      </c>
      <c r="F58" s="81">
        <f>E58*D58</f>
        <v/>
      </c>
    </row>
    <row r="59" ht="15" customHeight="1" s="95">
      <c r="B59" s="81" t="n">
        <v>38</v>
      </c>
      <c r="C59" s="51" t="inlineStr">
        <is>
          <t>Насос ЦНС 180-1422...1900 3 ТМ</t>
        </is>
      </c>
      <c r="D59" s="81" t="n"/>
      <c r="E59" s="81" t="n">
        <v>41616.5</v>
      </c>
      <c r="F59" s="81">
        <f>E59*D59</f>
        <v/>
      </c>
    </row>
    <row r="60" ht="15" customHeight="1" s="95">
      <c r="B60" s="81" t="n">
        <v>39</v>
      </c>
      <c r="C60" s="51" t="inlineStr">
        <is>
          <t>Насос ЦНС 63-1422...1900 2 ТМ</t>
        </is>
      </c>
      <c r="D60" s="81" t="n"/>
      <c r="E60" s="81" t="n">
        <v>41616.5</v>
      </c>
      <c r="F60" s="81">
        <f>E60*D60</f>
        <v/>
      </c>
    </row>
    <row r="61" ht="15" customHeight="1" s="95">
      <c r="B61" s="81" t="n">
        <v>40</v>
      </c>
      <c r="C61" s="51" t="inlineStr">
        <is>
          <t>Насос ЦНС 13-70... 350</t>
        </is>
      </c>
      <c r="D61" s="81" t="n"/>
      <c r="E61" s="81" t="n">
        <v>6070.81</v>
      </c>
      <c r="F61" s="81">
        <f>E61*D61</f>
        <v/>
      </c>
    </row>
    <row r="62" ht="15" customHeight="1" s="95">
      <c r="B62" s="81" t="n">
        <v>41</v>
      </c>
      <c r="C62" s="51" t="inlineStr">
        <is>
          <t>Насос ЦНС 300/1422…1900</t>
        </is>
      </c>
      <c r="D62" s="45" t="n"/>
      <c r="E62" s="45" t="n">
        <v>45915.64</v>
      </c>
      <c r="F62" s="81">
        <f>E62*D62</f>
        <v/>
      </c>
    </row>
    <row r="63" ht="12.75" customHeight="1" s="95">
      <c r="B63" s="81" t="n">
        <v>42</v>
      </c>
      <c r="C63" s="51" t="inlineStr">
        <is>
          <t>Насос ЦНС 310/1422…1900</t>
        </is>
      </c>
      <c r="D63" s="45" t="n"/>
      <c r="E63" s="45" t="n">
        <v>45915.64</v>
      </c>
      <c r="F63" s="81">
        <f>E63*D63</f>
        <v/>
      </c>
    </row>
    <row r="64" ht="14.25" customHeight="1" s="95">
      <c r="B64" s="81" t="n"/>
      <c r="C64" s="78" t="inlineStr">
        <is>
          <t>ИТОГО</t>
        </is>
      </c>
      <c r="D64" s="45" t="n"/>
      <c r="E64" s="45" t="n"/>
      <c r="F64" s="81">
        <f>SUM(F22:F63)</f>
        <v/>
      </c>
      <c r="I64" s="82">
        <f>F64-H64</f>
        <v/>
      </c>
      <c r="J64" s="82">
        <f>I64-[1]Лот2!$AN$4</f>
        <v/>
      </c>
    </row>
    <row r="65" ht="15.75" customHeight="1" s="95">
      <c r="B65" s="80" t="inlineStr">
        <is>
          <t>Текущий ремонт</t>
        </is>
      </c>
      <c r="C65" s="78" t="n"/>
      <c r="D65" s="81" t="n"/>
      <c r="E65" s="81" t="n"/>
      <c r="F65" s="81" t="n"/>
    </row>
    <row r="66" ht="15" customHeight="1" s="95">
      <c r="B66" s="81" t="inlineStr">
        <is>
          <t>1</t>
        </is>
      </c>
      <c r="C66" s="52" t="inlineStr">
        <is>
          <t>Насос 12НА9/4; 12НА22/6</t>
        </is>
      </c>
      <c r="D66" s="45" t="n"/>
      <c r="E66" s="45" t="n">
        <v>29291.24</v>
      </c>
      <c r="F66" s="18">
        <f>E66*D66</f>
        <v/>
      </c>
    </row>
    <row r="67" ht="15" customHeight="1" s="95">
      <c r="B67" s="81" t="inlineStr">
        <is>
          <t>2</t>
        </is>
      </c>
      <c r="C67" s="52" t="inlineStr">
        <is>
          <t>Насос дозировочный типа ДП;НД</t>
        </is>
      </c>
      <c r="D67" s="45" t="n"/>
      <c r="E67" s="45" t="n">
        <v>15787.94</v>
      </c>
      <c r="F67" s="18" t="n"/>
    </row>
    <row r="68" ht="20.25" customHeight="1" s="95">
      <c r="B68" s="81" t="inlineStr">
        <is>
          <t>3</t>
        </is>
      </c>
      <c r="C68" s="52" t="inlineStr">
        <is>
          <t>Насос НВ 50/50; НВ 50/80; НВЕ 50/50; НВЕ 50/80</t>
        </is>
      </c>
      <c r="D68" s="45" t="n"/>
      <c r="E68" s="45" t="n">
        <v>27574.87</v>
      </c>
      <c r="F68" s="18" t="n"/>
    </row>
    <row r="69" ht="15" customHeight="1" s="95">
      <c r="B69" s="81" t="inlineStr">
        <is>
          <t>4</t>
        </is>
      </c>
      <c r="C69" s="46" t="inlineStr">
        <is>
          <t>Насос ЦНС-300/120…600</t>
        </is>
      </c>
      <c r="D69" s="45" t="n"/>
      <c r="E69" s="45" t="n">
        <v>74329.23</v>
      </c>
      <c r="F69" s="18" t="n"/>
    </row>
    <row r="70" ht="15" customHeight="1" s="95">
      <c r="B70" s="81" t="inlineStr">
        <is>
          <t>5</t>
        </is>
      </c>
      <c r="C70" s="52" t="inlineStr">
        <is>
          <t>Насос 1Д 630/90</t>
        </is>
      </c>
      <c r="D70" s="45" t="n"/>
      <c r="E70" s="45" t="n">
        <v>28225.99</v>
      </c>
      <c r="F70" s="18" t="n"/>
    </row>
    <row r="71" ht="38.25" customHeight="1" s="95">
      <c r="B71" s="81" t="inlineStr">
        <is>
          <t>6</t>
        </is>
      </c>
      <c r="C71" s="52" t="inlineStr">
        <is>
          <t>Насос К 65-50-160; К 65-40-100; К 65-50-160; К 80-50-200; КМН 80-65-175, К 100-80-160;К 100-65-200, КМ 160-65-200, 3Т13Н</t>
        </is>
      </c>
      <c r="D71" s="45" t="n"/>
      <c r="E71" s="45" t="n">
        <v>9378.790000000001</v>
      </c>
      <c r="F71" s="18" t="n"/>
    </row>
    <row r="72" ht="15" customHeight="1" s="95">
      <c r="B72" s="81" t="inlineStr">
        <is>
          <t>7</t>
        </is>
      </c>
      <c r="C72" s="46" t="inlineStr">
        <is>
          <t>Насос НМШ 5/25</t>
        </is>
      </c>
      <c r="D72" s="45" t="n"/>
      <c r="E72" s="45" t="n">
        <v>5822.33</v>
      </c>
      <c r="F72" s="18" t="n"/>
    </row>
    <row r="73" ht="15" customHeight="1" s="95">
      <c r="B73" s="81" t="inlineStr">
        <is>
          <t>8</t>
        </is>
      </c>
      <c r="C73" s="52" t="inlineStr">
        <is>
          <t>Насос 1Д 630/125</t>
        </is>
      </c>
      <c r="D73" s="45" t="n"/>
      <c r="E73" s="45" t="n">
        <v>28234.46</v>
      </c>
      <c r="F73" s="18" t="n"/>
    </row>
    <row r="74" ht="15" customHeight="1" s="95">
      <c r="B74" s="81" t="inlineStr">
        <is>
          <t>9</t>
        </is>
      </c>
      <c r="C74" s="53" t="inlineStr">
        <is>
          <t>Насос АХП 45/31</t>
        </is>
      </c>
      <c r="D74" s="45" t="n"/>
      <c r="E74" s="45" t="n">
        <v>27517.82</v>
      </c>
      <c r="F74" s="18" t="n"/>
    </row>
    <row r="75" ht="15" customHeight="1" s="95">
      <c r="B75" s="81" t="inlineStr">
        <is>
          <t>10</t>
        </is>
      </c>
      <c r="C75" s="52" t="inlineStr">
        <is>
          <t>Насос дозировочный типа PAX 32/12; PIAX 32/28</t>
        </is>
      </c>
      <c r="D75" s="45" t="n"/>
      <c r="E75" s="45" t="n">
        <v>15344.06</v>
      </c>
      <c r="F75" s="18" t="n"/>
    </row>
    <row r="76" ht="15" customHeight="1" s="95">
      <c r="B76" s="81" t="inlineStr">
        <is>
          <t>11</t>
        </is>
      </c>
      <c r="C76" s="46" t="inlineStr">
        <is>
          <t>Насос НМШ 8/25</t>
        </is>
      </c>
      <c r="D76" s="45" t="n"/>
      <c r="E76" s="45" t="n">
        <v>5822.33</v>
      </c>
      <c r="F76" s="18" t="n"/>
    </row>
    <row r="77" ht="15" customHeight="1" s="95">
      <c r="B77" s="81" t="inlineStr">
        <is>
          <t>12</t>
        </is>
      </c>
      <c r="C77" s="52" t="inlineStr">
        <is>
          <t>Насос ЦВК 6,3/160</t>
        </is>
      </c>
      <c r="D77" s="45" t="n"/>
      <c r="E77" s="45" t="n">
        <v>8167.87</v>
      </c>
      <c r="F77" s="18" t="n"/>
    </row>
    <row r="78" ht="15" customHeight="1" s="95">
      <c r="B78" s="81" t="inlineStr">
        <is>
          <t>13</t>
        </is>
      </c>
      <c r="C78" s="52" t="inlineStr">
        <is>
          <t>Насос ЦНС 40/1400</t>
        </is>
      </c>
      <c r="D78" s="45" t="n"/>
      <c r="E78" s="45" t="n">
        <v>142528.98</v>
      </c>
      <c r="F78" s="18" t="n"/>
    </row>
    <row r="79" ht="15" customHeight="1" s="95">
      <c r="B79" s="81" t="inlineStr">
        <is>
          <t>14</t>
        </is>
      </c>
      <c r="C79" s="52" t="inlineStr">
        <is>
          <t>Насос ЦГ 6,3/32</t>
        </is>
      </c>
      <c r="D79" s="45" t="n"/>
      <c r="E79" s="45" t="n">
        <v>23941.23</v>
      </c>
      <c r="F79" s="18" t="n"/>
    </row>
    <row r="80" ht="15" customHeight="1" s="95">
      <c r="B80" s="81" t="inlineStr">
        <is>
          <t>15</t>
        </is>
      </c>
      <c r="C80" s="52" t="inlineStr">
        <is>
          <t>Насос ЦНС-105/98…490</t>
        </is>
      </c>
      <c r="D80" s="45" t="n"/>
      <c r="E80" s="45" t="n">
        <v>38289.2</v>
      </c>
      <c r="F80" s="18" t="n"/>
    </row>
    <row r="81" ht="15" customHeight="1" s="95">
      <c r="B81" s="81" t="inlineStr">
        <is>
          <t>16</t>
        </is>
      </c>
      <c r="C81" s="46" t="inlineStr">
        <is>
          <t>Насос НПВ  1250/60</t>
        </is>
      </c>
      <c r="D81" s="45" t="n"/>
      <c r="E81" s="45" t="n">
        <v>69627.92</v>
      </c>
      <c r="F81" s="18" t="n"/>
    </row>
    <row r="82" ht="15" customHeight="1" s="95">
      <c r="B82" s="81" t="inlineStr">
        <is>
          <t>17</t>
        </is>
      </c>
      <c r="C82" s="46" t="inlineStr">
        <is>
          <t>Насос ЦНС 180/1422...1900 2 ТМ</t>
        </is>
      </c>
      <c r="D82" s="45" t="n"/>
      <c r="E82" s="45" t="n">
        <v>142528.98</v>
      </c>
      <c r="F82" s="18" t="n"/>
    </row>
    <row r="83" ht="15" customHeight="1" s="95">
      <c r="B83" s="81" t="inlineStr">
        <is>
          <t>18</t>
        </is>
      </c>
      <c r="C83" s="46" t="inlineStr">
        <is>
          <t>Насос ЦНС 240/1422…1900 ЗК</t>
        </is>
      </c>
      <c r="D83" s="45" t="n"/>
      <c r="E83" s="45" t="n">
        <v>184847.66</v>
      </c>
      <c r="F83" s="18" t="n"/>
    </row>
    <row r="84" ht="15" customHeight="1" s="95">
      <c r="B84" s="81" t="inlineStr">
        <is>
          <t>19</t>
        </is>
      </c>
      <c r="C84" s="46" t="inlineStr">
        <is>
          <t>Насос ЦНС-180/1422…1900</t>
        </is>
      </c>
      <c r="D84" s="45" t="n"/>
      <c r="E84" s="45" t="n">
        <v>142528.98</v>
      </c>
      <c r="F84" s="18" t="n"/>
    </row>
    <row r="85" ht="15" customHeight="1" s="95">
      <c r="B85" s="81" t="inlineStr">
        <is>
          <t>20</t>
        </is>
      </c>
      <c r="C85" s="46" t="inlineStr">
        <is>
          <t>Насос ЦНС 240/1422...1900 2 ТМ</t>
        </is>
      </c>
      <c r="D85" s="45" t="n"/>
      <c r="E85" s="45" t="n">
        <v>229092.97</v>
      </c>
      <c r="F85" s="18" t="n"/>
    </row>
    <row r="86" ht="15" customHeight="1" s="95">
      <c r="B86" s="81" t="inlineStr">
        <is>
          <t>21</t>
        </is>
      </c>
      <c r="C86" s="52" t="inlineStr">
        <is>
          <t>Клапан СППК</t>
        </is>
      </c>
      <c r="D86" s="45" t="n"/>
      <c r="E86" s="45" t="n">
        <v>3016.82</v>
      </c>
      <c r="F86" s="18" t="n"/>
    </row>
    <row r="87" ht="12.75" customHeight="1" s="95">
      <c r="B87" s="81" t="inlineStr">
        <is>
          <t>22</t>
        </is>
      </c>
      <c r="C87" s="52" t="inlineStr">
        <is>
          <t>Сварочный агрегат АДД</t>
        </is>
      </c>
      <c r="D87" s="45" t="n"/>
      <c r="E87" s="45" t="n">
        <v>41529.66</v>
      </c>
      <c r="F87" s="18">
        <f>E87*D87</f>
        <v/>
      </c>
    </row>
    <row r="88" ht="12.75" customHeight="1" s="95">
      <c r="B88" s="81" t="inlineStr">
        <is>
          <t>23</t>
        </is>
      </c>
      <c r="C88" s="52" t="inlineStr">
        <is>
          <t>Насос ЦНС-60/66...330</t>
        </is>
      </c>
      <c r="D88" s="45" t="n"/>
      <c r="E88" s="45" t="n">
        <v>35544.81</v>
      </c>
      <c r="F88" s="18" t="n"/>
    </row>
    <row r="89" ht="12.75" customHeight="1" s="95">
      <c r="B89" s="81" t="inlineStr">
        <is>
          <t>24</t>
        </is>
      </c>
      <c r="C89" s="52" t="inlineStr">
        <is>
          <t>Насос ЦНС-38/44...220</t>
        </is>
      </c>
      <c r="D89" s="45" t="n"/>
      <c r="E89" s="45" t="n">
        <v>24720.68</v>
      </c>
      <c r="F89" s="18" t="n"/>
    </row>
    <row r="90" ht="12.75" customHeight="1" s="95">
      <c r="B90" s="81" t="inlineStr">
        <is>
          <t>25</t>
        </is>
      </c>
      <c r="C90" s="52" t="inlineStr">
        <is>
          <t>Насос 1Д200/90; 4Д200/90; 1Д250/125</t>
        </is>
      </c>
      <c r="D90" s="45" t="n"/>
      <c r="E90" s="45" t="n">
        <v>26583.48</v>
      </c>
      <c r="F90" s="18" t="n"/>
    </row>
    <row r="91" ht="12.75" customHeight="1" s="95">
      <c r="B91" s="81" t="inlineStr">
        <is>
          <t>26</t>
        </is>
      </c>
      <c r="C91" s="52" t="inlineStr">
        <is>
          <t>Насос ВКС 2/26</t>
        </is>
      </c>
      <c r="D91" s="45" t="n"/>
      <c r="E91" s="45" t="n">
        <v>6483.63</v>
      </c>
      <c r="F91" s="18" t="n"/>
    </row>
    <row r="92" ht="12.75" customHeight="1" s="95">
      <c r="B92" s="81" t="inlineStr">
        <is>
          <t>27</t>
        </is>
      </c>
      <c r="C92" s="52" t="inlineStr">
        <is>
          <t>ГПМ</t>
        </is>
      </c>
      <c r="D92" s="45" t="n"/>
      <c r="E92" s="45" t="n">
        <v>26207.27</v>
      </c>
      <c r="F92" s="18" t="n"/>
    </row>
    <row r="93" ht="12.75" customHeight="1" s="95">
      <c r="B93" s="81" t="inlineStr">
        <is>
          <t>28</t>
        </is>
      </c>
      <c r="C93" s="52" t="inlineStr">
        <is>
          <t xml:space="preserve"> Насос 1Д315/71; 1Д320/70</t>
        </is>
      </c>
      <c r="D93" s="45" t="n"/>
      <c r="E93" s="45" t="n">
        <v>26599.8</v>
      </c>
      <c r="F93" s="18" t="n"/>
    </row>
    <row r="94" ht="12.75" customHeight="1" s="95">
      <c r="B94" s="81" t="inlineStr">
        <is>
          <t>29</t>
        </is>
      </c>
      <c r="C94" s="52" t="inlineStr">
        <is>
          <t>Насос НВД 50/50; НВД 50/80; НВД 35/90</t>
        </is>
      </c>
      <c r="D94" s="45" t="n"/>
      <c r="E94" s="45" t="n">
        <v>29483.16</v>
      </c>
      <c r="F94" s="18" t="n"/>
    </row>
    <row r="95" ht="12.75" customHeight="1" s="95">
      <c r="B95" s="81" t="inlineStr">
        <is>
          <t>30</t>
        </is>
      </c>
      <c r="C95" s="52" t="inlineStr">
        <is>
          <t>Насос ЦНС-180/85…425</t>
        </is>
      </c>
      <c r="D95" s="45" t="n"/>
      <c r="E95" s="45" t="n">
        <v>42085.43</v>
      </c>
      <c r="F95" s="18" t="n"/>
    </row>
    <row r="96" ht="12.75" customHeight="1" s="95">
      <c r="B96" s="81" t="inlineStr">
        <is>
          <t>31</t>
        </is>
      </c>
      <c r="C96" s="52" t="inlineStr">
        <is>
          <t>Насос 1Д1250/90-125</t>
        </is>
      </c>
      <c r="D96" s="45" t="n"/>
      <c r="E96" s="45" t="n">
        <v>29345.26</v>
      </c>
      <c r="F96" s="18" t="n"/>
    </row>
    <row r="97" ht="12.75" customHeight="1" s="95">
      <c r="B97" s="81" t="inlineStr">
        <is>
          <t>32</t>
        </is>
      </c>
      <c r="C97" s="52" t="inlineStr">
        <is>
          <t>Насос ЦНС 240/1422...1900 3ТМ</t>
        </is>
      </c>
      <c r="D97" s="45" t="n"/>
      <c r="E97" s="45" t="n">
        <v>239043.85</v>
      </c>
      <c r="F97" s="18" t="n"/>
    </row>
    <row r="98" ht="12.75" customHeight="1" s="95">
      <c r="B98" s="81" t="n">
        <v>33</v>
      </c>
      <c r="C98" s="52" t="inlineStr">
        <is>
          <t>Насос KRGH 80/315;KRGH 200/500; KRGH 125/80/315</t>
        </is>
      </c>
      <c r="D98" s="45" t="n"/>
      <c r="E98" s="45" t="n">
        <v>34676.83</v>
      </c>
      <c r="F98" s="18" t="n"/>
    </row>
    <row r="99" ht="12.75" customHeight="1" s="95">
      <c r="B99" s="81" t="inlineStr">
        <is>
          <t>34</t>
        </is>
      </c>
      <c r="C99" s="52" t="inlineStr">
        <is>
          <t>Насос 200Д90; 200Д/60</t>
        </is>
      </c>
      <c r="D99" s="45" t="n"/>
      <c r="E99" s="45" t="n">
        <v>26367.1</v>
      </c>
      <c r="F99" s="18" t="n"/>
    </row>
    <row r="100" ht="12.75" customHeight="1" s="95">
      <c r="B100" s="81" t="inlineStr">
        <is>
          <t>35</t>
        </is>
      </c>
      <c r="C100" s="52" t="inlineStr">
        <is>
          <t>Насос BUL 6,3/64</t>
        </is>
      </c>
      <c r="D100" s="45" t="n"/>
      <c r="E100" s="45" t="n">
        <v>15573.23</v>
      </c>
      <c r="F100" s="18" t="n"/>
    </row>
    <row r="101" ht="18" customHeight="1" s="95">
      <c r="B101" s="81" t="inlineStr">
        <is>
          <t>36</t>
        </is>
      </c>
      <c r="C101" s="52" t="inlineStr">
        <is>
          <t>Насос НВД50/50; НВД 50/80; НВД35/90</t>
        </is>
      </c>
      <c r="D101" s="45" t="n"/>
      <c r="E101" s="45" t="n">
        <v>29483.16</v>
      </c>
      <c r="F101" s="18">
        <f>E101*D101</f>
        <v/>
      </c>
    </row>
    <row r="102" ht="15" customHeight="1" s="95">
      <c r="B102" s="81" t="inlineStr">
        <is>
          <t>37</t>
        </is>
      </c>
      <c r="C102" s="52" t="inlineStr">
        <is>
          <t>Насос ГХИ 6,3/32</t>
        </is>
      </c>
      <c r="D102" s="45" t="n"/>
      <c r="E102" s="45" t="n">
        <v>34632.75</v>
      </c>
      <c r="F102" s="18">
        <f>E102*D102</f>
        <v/>
      </c>
    </row>
    <row r="103" ht="15" customHeight="1" s="95">
      <c r="B103" s="81" t="inlineStr">
        <is>
          <t>38</t>
        </is>
      </c>
      <c r="C103" s="52" t="inlineStr">
        <is>
          <t>Насос ЦНС 180/1422…1900 ЗК</t>
        </is>
      </c>
      <c r="D103" s="45" t="n"/>
      <c r="E103" s="45" t="n">
        <v>184847.66</v>
      </c>
      <c r="F103" s="18">
        <f>E103*D103</f>
        <v/>
      </c>
    </row>
    <row r="104" ht="15" customHeight="1" s="95">
      <c r="B104" s="81" t="inlineStr">
        <is>
          <t>39</t>
        </is>
      </c>
      <c r="C104" s="50" t="inlineStr">
        <is>
          <t>Насос 1Д500/63б</t>
        </is>
      </c>
      <c r="D104" s="45" t="n"/>
      <c r="E104" s="45" t="n">
        <v>28234.46</v>
      </c>
      <c r="F104" s="18">
        <f>E104*D104</f>
        <v/>
      </c>
    </row>
    <row r="105" ht="12.75" customHeight="1" s="95">
      <c r="B105" s="81" t="inlineStr">
        <is>
          <t>40</t>
        </is>
      </c>
      <c r="C105" s="51" t="inlineStr">
        <is>
          <t>Насос CRE20-01 G-F-A-E-HQQE</t>
        </is>
      </c>
      <c r="D105" s="45" t="n"/>
      <c r="E105" s="45" t="n">
        <v>45229.17</v>
      </c>
      <c r="F105" s="18">
        <f>E105*D105</f>
        <v/>
      </c>
    </row>
    <row r="106" ht="15" customHeight="1" s="95">
      <c r="B106" s="81" t="inlineStr">
        <is>
          <t>41</t>
        </is>
      </c>
      <c r="C106" s="50" t="inlineStr">
        <is>
          <t>Насос CR15-02 A-F-A-E-HQQE</t>
        </is>
      </c>
      <c r="D106" s="45" t="n"/>
      <c r="E106" s="45" t="n">
        <v>45229.17</v>
      </c>
      <c r="F106" s="18">
        <f>E106*D106</f>
        <v/>
      </c>
    </row>
    <row r="107" ht="15" customHeight="1" s="95">
      <c r="B107" s="81" t="inlineStr">
        <is>
          <t>42</t>
        </is>
      </c>
      <c r="C107" s="51" t="inlineStr">
        <is>
          <t>Насос ЦНС 180-1422...1900 3 ТМ</t>
        </is>
      </c>
      <c r="D107" s="45" t="n"/>
      <c r="E107" s="45" t="n">
        <v>229092.97</v>
      </c>
      <c r="F107" s="18">
        <f>E107*D107</f>
        <v/>
      </c>
    </row>
    <row r="108" ht="15" customHeight="1" s="95">
      <c r="B108" s="81" t="inlineStr">
        <is>
          <t>43</t>
        </is>
      </c>
      <c r="C108" s="51" t="inlineStr">
        <is>
          <t>Насос ЦНС 63-1422...1900 2 ТМ</t>
        </is>
      </c>
      <c r="D108" s="45" t="n"/>
      <c r="E108" s="45" t="n">
        <v>229092.97</v>
      </c>
      <c r="F108" s="18">
        <f>ROUND(D108*E108,2)</f>
        <v/>
      </c>
    </row>
    <row r="109" ht="15" customHeight="1" s="95">
      <c r="B109" s="81" t="inlineStr">
        <is>
          <t>44</t>
        </is>
      </c>
      <c r="C109" s="51" t="inlineStr">
        <is>
          <t>Насос ЦНС 13-70... 350</t>
        </is>
      </c>
      <c r="D109" s="3" t="n"/>
      <c r="E109" s="3" t="n">
        <v>24720.68</v>
      </c>
      <c r="F109" s="18">
        <f>E109*D109</f>
        <v/>
      </c>
    </row>
    <row r="110" ht="15" customHeight="1" s="95">
      <c r="B110" s="81" t="inlineStr">
        <is>
          <t>45</t>
        </is>
      </c>
      <c r="C110" s="51" t="inlineStr">
        <is>
          <t>Насос ЦНС 300/1422…1900</t>
        </is>
      </c>
      <c r="D110" s="45" t="n"/>
      <c r="E110" s="45" t="n">
        <v>246230.71</v>
      </c>
      <c r="F110" s="18">
        <f>E110*D110</f>
        <v/>
      </c>
    </row>
    <row r="111" ht="15" customHeight="1" s="95">
      <c r="B111" s="81" t="inlineStr">
        <is>
          <t>46</t>
        </is>
      </c>
      <c r="C111" s="51" t="inlineStr">
        <is>
          <t>Насос ЦНС 310/1422…1900</t>
        </is>
      </c>
      <c r="D111" s="45" t="n"/>
      <c r="E111" s="45" t="n">
        <v>246230.71</v>
      </c>
      <c r="F111" s="18">
        <f>E111*D111</f>
        <v/>
      </c>
    </row>
    <row r="112" ht="14.25" customHeight="1" s="95">
      <c r="B112" s="81" t="n"/>
      <c r="C112" s="46" t="inlineStr">
        <is>
          <t>ИТОГО</t>
        </is>
      </c>
      <c r="D112" s="81" t="n"/>
      <c r="E112" s="81" t="n"/>
      <c r="F112" s="81">
        <f>SUM(F66:F111)</f>
        <v/>
      </c>
    </row>
    <row r="113" ht="15" customHeight="1" s="95">
      <c r="B113" s="77" t="inlineStr">
        <is>
          <t>Пуско-наладка насосного  оборудования</t>
        </is>
      </c>
      <c r="C113" s="78" t="n"/>
      <c r="D113" s="81" t="n"/>
      <c r="E113" s="81" t="n"/>
      <c r="F113" s="18" t="n"/>
      <c r="G113" s="81" t="n"/>
      <c r="H113" s="77" t="n"/>
      <c r="J113" s="82" t="n">
        <v>115488.03</v>
      </c>
    </row>
    <row r="114" ht="15" customHeight="1" s="95">
      <c r="B114" s="81" t="inlineStr">
        <is>
          <t>1</t>
        </is>
      </c>
      <c r="C114" s="52" t="inlineStr">
        <is>
          <t>Насос 12НА9/4, 12НА22/6</t>
        </is>
      </c>
      <c r="D114" s="81" t="n"/>
      <c r="E114" s="81" t="n">
        <v>8693.879999999999</v>
      </c>
      <c r="F114" s="18">
        <f>E114*D114</f>
        <v/>
      </c>
      <c r="G114" s="81" t="n"/>
      <c r="H114" s="77" t="n"/>
      <c r="J114" s="82" t="n">
        <v>20102.27</v>
      </c>
    </row>
    <row r="115" ht="15" customHeight="1" s="95">
      <c r="B115" s="81" t="inlineStr">
        <is>
          <t>2</t>
        </is>
      </c>
      <c r="C115" s="52" t="inlineStr">
        <is>
          <t>Насос дозировочный типа НД, ДП</t>
        </is>
      </c>
      <c r="D115" s="45" t="n"/>
      <c r="E115" s="45" t="n">
        <v>7898.48</v>
      </c>
      <c r="F115" s="18">
        <f>E115*D115</f>
        <v/>
      </c>
      <c r="G115" s="81" t="n"/>
      <c r="H115" s="77" t="n"/>
      <c r="J115" s="82" t="n">
        <v>1434.51</v>
      </c>
    </row>
    <row r="116" ht="25.5" customHeight="1" s="95">
      <c r="B116" s="81" t="inlineStr">
        <is>
          <t>3</t>
        </is>
      </c>
      <c r="C116" s="52" t="inlineStr">
        <is>
          <t>Насос НВ 50/50, НВ 50/80, НВЕ 50/50, НВЕ 50/80, ГХИ 6,3/32</t>
        </is>
      </c>
      <c r="D116" s="45" t="n"/>
      <c r="E116" s="45" t="n">
        <v>5912.22</v>
      </c>
      <c r="F116" s="18">
        <f>E116*D116</f>
        <v/>
      </c>
      <c r="G116" s="81" t="n"/>
      <c r="H116" s="77" t="n"/>
      <c r="J116" s="82" t="n">
        <v>8391.780000000001</v>
      </c>
    </row>
    <row r="117" ht="15" customHeight="1" s="95">
      <c r="B117" s="81" t="inlineStr">
        <is>
          <t>4</t>
        </is>
      </c>
      <c r="C117" s="46" t="inlineStr">
        <is>
          <t>Насос ЦНС-300/120…600</t>
        </is>
      </c>
      <c r="D117" s="45" t="n"/>
      <c r="E117" s="45" t="n">
        <v>20825.74</v>
      </c>
      <c r="F117" s="18">
        <f>E117*D117</f>
        <v/>
      </c>
      <c r="G117" s="81" t="n"/>
      <c r="H117" s="77" t="n"/>
      <c r="J117" s="82" t="n">
        <v>38496.01</v>
      </c>
    </row>
    <row r="118" ht="15" customHeight="1" s="95">
      <c r="B118" s="81" t="inlineStr">
        <is>
          <t>5</t>
        </is>
      </c>
      <c r="C118" s="52" t="inlineStr">
        <is>
          <t>Насос ЦНС-38/44...220</t>
        </is>
      </c>
      <c r="D118" s="45" t="n"/>
      <c r="E118" s="45" t="n">
        <v>6515.95</v>
      </c>
      <c r="F118" s="18">
        <f>E118*D118</f>
        <v/>
      </c>
      <c r="G118" s="81" t="n"/>
      <c r="H118" s="77" t="n"/>
    </row>
    <row r="119" ht="15" customHeight="1" s="95">
      <c r="B119" s="81" t="inlineStr">
        <is>
          <t>6</t>
        </is>
      </c>
      <c r="C119" s="52" t="inlineStr">
        <is>
          <t>Насос 1Д630/90</t>
        </is>
      </c>
      <c r="D119" s="45" t="n"/>
      <c r="E119" s="18" t="n">
        <v>7053.6</v>
      </c>
      <c r="F119" s="18">
        <f>E119*D119</f>
        <v/>
      </c>
      <c r="G119" s="81" t="n"/>
      <c r="H119" s="77" t="n"/>
    </row>
    <row r="120" ht="38.25" customHeight="1" s="95">
      <c r="B120" s="81" t="inlineStr">
        <is>
          <t>7</t>
        </is>
      </c>
      <c r="C120" s="52" t="inlineStr">
        <is>
          <t>Насос К 65-50-160; К 65-40-100; К 65-50-160; К 80-50-200; КМН 80-65-175, К 100-80-160;К 100-65-200, КМ 160-65-200, 3Т13Н; ЦВК 6,3/160;ВКС 2/26;</t>
        </is>
      </c>
      <c r="D120" s="45" t="n"/>
      <c r="E120" s="18" t="n">
        <v>3318.38</v>
      </c>
      <c r="F120" s="18">
        <f>E120*D120</f>
        <v/>
      </c>
      <c r="G120" s="81" t="n"/>
      <c r="H120" s="77" t="n"/>
    </row>
    <row r="121" ht="15" customHeight="1" s="95">
      <c r="B121" s="81" t="inlineStr">
        <is>
          <t>8</t>
        </is>
      </c>
      <c r="C121" s="52" t="inlineStr">
        <is>
          <t>Насос НМШ 5/25</t>
        </is>
      </c>
      <c r="D121" s="45" t="n"/>
      <c r="E121" s="18" t="n">
        <v>1486.15</v>
      </c>
      <c r="F121" s="18" t="n"/>
      <c r="G121" s="81" t="n"/>
      <c r="H121" s="77" t="n"/>
    </row>
    <row r="122" ht="15" customHeight="1" s="95">
      <c r="B122" s="81" t="inlineStr">
        <is>
          <t>9</t>
        </is>
      </c>
      <c r="C122" s="52" t="inlineStr">
        <is>
          <t>Насос 1Д630/125</t>
        </is>
      </c>
      <c r="D122" s="45" t="n"/>
      <c r="E122" s="18" t="n">
        <v>7053.6</v>
      </c>
      <c r="F122" s="18" t="n"/>
      <c r="G122" s="81" t="n"/>
      <c r="H122" s="77" t="n"/>
    </row>
    <row r="123" ht="15" customHeight="1" s="95">
      <c r="B123" s="81" t="inlineStr">
        <is>
          <t>10</t>
        </is>
      </c>
      <c r="C123" s="52" t="inlineStr">
        <is>
          <t>Насос АХП 45/31</t>
        </is>
      </c>
      <c r="D123" s="45" t="n"/>
      <c r="E123" s="18" t="n">
        <v>21627.72</v>
      </c>
      <c r="F123" s="18" t="n"/>
      <c r="G123" s="81" t="n"/>
      <c r="H123" s="77" t="n"/>
    </row>
    <row r="124" ht="15" customHeight="1" s="95">
      <c r="B124" s="81" t="inlineStr">
        <is>
          <t>11</t>
        </is>
      </c>
      <c r="C124" s="52" t="inlineStr">
        <is>
          <t>Насос дозировочный типа  PAX</t>
        </is>
      </c>
      <c r="D124" s="45" t="n"/>
      <c r="E124" s="18" t="n">
        <v>7898.48</v>
      </c>
      <c r="F124" s="18" t="n"/>
      <c r="G124" s="81" t="n"/>
      <c r="H124" s="77" t="n"/>
    </row>
    <row r="125" ht="15" customHeight="1" s="95">
      <c r="B125" s="81" t="inlineStr">
        <is>
          <t>12</t>
        </is>
      </c>
      <c r="C125" s="52" t="inlineStr">
        <is>
          <t>Насос НМШ 8/25</t>
        </is>
      </c>
      <c r="D125" s="45" t="n"/>
      <c r="E125" s="18" t="n">
        <v>1486.15</v>
      </c>
      <c r="F125" s="18" t="n"/>
      <c r="G125" s="81" t="n"/>
      <c r="H125" s="77" t="n"/>
    </row>
    <row r="126" ht="15" customHeight="1" s="95">
      <c r="B126" s="81" t="inlineStr">
        <is>
          <t>13</t>
        </is>
      </c>
      <c r="C126" s="52" t="inlineStr">
        <is>
          <t>Насос ЦГ 6,3/32</t>
        </is>
      </c>
      <c r="D126" s="45" t="n"/>
      <c r="E126" s="18" t="n">
        <v>6515.95</v>
      </c>
      <c r="F126" s="18" t="n"/>
      <c r="G126" s="81" t="n"/>
      <c r="H126" s="77" t="n"/>
    </row>
    <row r="127" ht="15" customHeight="1" s="95">
      <c r="B127" s="81" t="inlineStr">
        <is>
          <t>14</t>
        </is>
      </c>
      <c r="C127" s="52" t="inlineStr">
        <is>
          <t>Насос ЦНС-105/98..490</t>
        </is>
      </c>
      <c r="D127" s="45" t="n"/>
      <c r="E127" s="18" t="n">
        <v>18106.45</v>
      </c>
      <c r="F127" s="18" t="n"/>
      <c r="G127" s="81" t="n"/>
      <c r="H127" s="77" t="n"/>
    </row>
    <row r="128" ht="15" customHeight="1" s="95">
      <c r="B128" s="81" t="inlineStr">
        <is>
          <t>15</t>
        </is>
      </c>
      <c r="C128" s="52" t="inlineStr">
        <is>
          <t>Насос НПВ  1250/60</t>
        </is>
      </c>
      <c r="D128" s="45" t="n"/>
      <c r="E128" s="18" t="n">
        <v>21595.33</v>
      </c>
      <c r="F128" s="18" t="n"/>
      <c r="G128" s="81" t="n"/>
      <c r="H128" s="77" t="n"/>
    </row>
    <row r="129" ht="15" customHeight="1" s="95">
      <c r="B129" s="81" t="inlineStr">
        <is>
          <t>16</t>
        </is>
      </c>
      <c r="C129" s="52" t="inlineStr">
        <is>
          <t>Насос ЦНС 180/1422...1900 2ТМ</t>
        </is>
      </c>
      <c r="D129" s="45" t="n"/>
      <c r="E129" s="18" t="n">
        <v>34381.12</v>
      </c>
      <c r="F129" s="18" t="n"/>
      <c r="G129" s="81" t="n"/>
      <c r="H129" s="77" t="n"/>
    </row>
    <row r="130" ht="15" customHeight="1" s="95">
      <c r="B130" s="81" t="inlineStr">
        <is>
          <t>17</t>
        </is>
      </c>
      <c r="C130" s="52" t="inlineStr">
        <is>
          <t>Насос ЦНС 240/1422...1900 ЗК</t>
        </is>
      </c>
      <c r="D130" s="45" t="n"/>
      <c r="E130" s="18" t="n">
        <v>30532.49</v>
      </c>
      <c r="F130" s="18" t="n"/>
      <c r="G130" s="81" t="n"/>
      <c r="H130" s="77" t="n"/>
    </row>
    <row r="131" ht="15" customHeight="1" s="95">
      <c r="B131" s="81" t="inlineStr">
        <is>
          <t>18</t>
        </is>
      </c>
      <c r="C131" s="52" t="inlineStr">
        <is>
          <t>Насос ЦНС-180/1422…1900;63/1800</t>
        </is>
      </c>
      <c r="D131" s="45" t="n"/>
      <c r="E131" s="18" t="n">
        <v>34381.12</v>
      </c>
      <c r="F131" s="18" t="n"/>
      <c r="G131" s="81" t="n"/>
      <c r="H131" s="77" t="n"/>
    </row>
    <row r="132" ht="15" customHeight="1" s="95">
      <c r="B132" s="81" t="inlineStr">
        <is>
          <t>19</t>
        </is>
      </c>
      <c r="C132" s="52" t="inlineStr">
        <is>
          <t>Насос ЦНС 240/1422...1900 2ТМ</t>
        </is>
      </c>
      <c r="D132" s="45" t="n"/>
      <c r="E132" s="18" t="n">
        <v>39881.87</v>
      </c>
      <c r="F132" s="18" t="n"/>
      <c r="G132" s="81" t="n"/>
      <c r="H132" s="77" t="n"/>
    </row>
    <row r="133" ht="15" customHeight="1" s="95">
      <c r="B133" s="81" t="inlineStr">
        <is>
          <t>20</t>
        </is>
      </c>
      <c r="C133" s="52" t="inlineStr">
        <is>
          <t>Насос 1Д200/90,4Д200/90, Д250/125</t>
        </is>
      </c>
      <c r="D133" s="45" t="n"/>
      <c r="E133" s="18" t="n">
        <v>7053.6</v>
      </c>
      <c r="F133" s="18" t="n"/>
      <c r="G133" s="81" t="n"/>
      <c r="H133" s="77" t="n"/>
    </row>
    <row r="134" ht="15" customHeight="1" s="95">
      <c r="B134" s="81" t="inlineStr">
        <is>
          <t>21</t>
        </is>
      </c>
      <c r="C134" s="52" t="inlineStr">
        <is>
          <t>Насос ЦНС-60/66…330</t>
        </is>
      </c>
      <c r="D134" s="45" t="n"/>
      <c r="E134" s="18" t="n">
        <v>11191.56</v>
      </c>
      <c r="F134" s="18">
        <f>E134*D134</f>
        <v/>
      </c>
      <c r="G134" s="81" t="n"/>
      <c r="H134" s="77" t="n"/>
    </row>
    <row r="135" ht="15" customHeight="1" s="95">
      <c r="B135" s="81" t="inlineStr">
        <is>
          <t>22</t>
        </is>
      </c>
      <c r="C135" s="52" t="inlineStr">
        <is>
          <t>Насос 1Д315/71, Д320/70</t>
        </is>
      </c>
      <c r="D135" s="45" t="n"/>
      <c r="E135" s="18" t="n">
        <v>7053.6</v>
      </c>
      <c r="F135" s="18">
        <f>E135*D135</f>
        <v/>
      </c>
      <c r="G135" s="81" t="n"/>
      <c r="H135" s="77" t="n"/>
    </row>
    <row r="136" ht="15" customHeight="1" s="95">
      <c r="B136" s="81" t="inlineStr">
        <is>
          <t>23</t>
        </is>
      </c>
      <c r="C136" s="52" t="inlineStr">
        <is>
          <t>Насос НВД 50/50; НВД 50/80; НВД 35/90</t>
        </is>
      </c>
      <c r="D136" s="45" t="n"/>
      <c r="E136" s="18" t="n">
        <v>5912.22</v>
      </c>
      <c r="F136" s="18">
        <f>E136*D136</f>
        <v/>
      </c>
      <c r="G136" s="81" t="n"/>
      <c r="H136" s="77" t="n"/>
    </row>
    <row r="137" ht="15" customHeight="1" s="95">
      <c r="B137" s="81" t="inlineStr">
        <is>
          <t>24</t>
        </is>
      </c>
      <c r="C137" s="52" t="inlineStr">
        <is>
          <t>Насос 1Д1250/90-125</t>
        </is>
      </c>
      <c r="D137" s="45" t="n"/>
      <c r="E137" s="18" t="n">
        <v>7053.6</v>
      </c>
      <c r="F137" s="18">
        <f>E137*D137</f>
        <v/>
      </c>
      <c r="G137" s="81" t="n"/>
      <c r="H137" s="77" t="n"/>
    </row>
    <row r="138" ht="15" customHeight="1" s="95">
      <c r="B138" s="81" t="inlineStr">
        <is>
          <t>25</t>
        </is>
      </c>
      <c r="C138" s="52" t="inlineStr">
        <is>
          <t>Насос ЦНС-180/170…425</t>
        </is>
      </c>
      <c r="D138" s="45" t="n"/>
      <c r="E138" s="18" t="n">
        <v>20188.55</v>
      </c>
      <c r="F138" s="18">
        <f>E138*D138</f>
        <v/>
      </c>
      <c r="G138" s="81" t="n"/>
      <c r="H138" s="77" t="n"/>
    </row>
    <row r="139" ht="15" customHeight="1" s="95">
      <c r="B139" s="81" t="inlineStr">
        <is>
          <t>26</t>
        </is>
      </c>
      <c r="C139" s="52" t="inlineStr">
        <is>
          <t>Насос ЦНС 240/1422...1900 3ТМ</t>
        </is>
      </c>
      <c r="D139" s="45" t="n"/>
      <c r="E139" s="18" t="n">
        <v>39296.45</v>
      </c>
      <c r="F139" s="18">
        <f>E139*D139</f>
        <v/>
      </c>
      <c r="G139" s="81" t="n"/>
      <c r="H139" s="77" t="n"/>
    </row>
    <row r="140" ht="25.5" customHeight="1" s="95">
      <c r="B140" s="81" t="inlineStr">
        <is>
          <t>27</t>
        </is>
      </c>
      <c r="C140" s="52" t="inlineStr">
        <is>
          <t>Насос KRGH 80/315;KRGH 200/500; KRGH 125/80/315</t>
        </is>
      </c>
      <c r="D140" s="45" t="n"/>
      <c r="E140" s="18" t="n">
        <v>21625.11</v>
      </c>
      <c r="F140" s="18">
        <f>E140*D140</f>
        <v/>
      </c>
      <c r="G140" s="81" t="n"/>
      <c r="H140" s="77" t="n"/>
    </row>
    <row r="141" ht="15" customHeight="1" s="95">
      <c r="B141" s="81" t="inlineStr">
        <is>
          <t>28</t>
        </is>
      </c>
      <c r="C141" s="52" t="inlineStr">
        <is>
          <t>Насос НВД50/50, НВД 50/80, НВД35/90</t>
        </is>
      </c>
      <c r="D141" s="45" t="n"/>
      <c r="E141" s="18" t="n">
        <v>5912.22</v>
      </c>
      <c r="F141" s="18">
        <f>E141*D141</f>
        <v/>
      </c>
      <c r="G141" s="81" t="n"/>
      <c r="H141" s="77" t="n"/>
    </row>
    <row r="142" ht="15" customHeight="1" s="95">
      <c r="B142" s="81" t="inlineStr">
        <is>
          <t>29</t>
        </is>
      </c>
      <c r="C142" s="52" t="inlineStr">
        <is>
          <t>Насос ЦНС 180..240/1422...1900 ЗК</t>
        </is>
      </c>
      <c r="D142" s="45" t="n"/>
      <c r="E142" s="18" t="n">
        <v>30532.49</v>
      </c>
      <c r="F142" s="18">
        <f>E142*D142</f>
        <v/>
      </c>
      <c r="G142" s="81" t="n"/>
      <c r="H142" s="77" t="n"/>
    </row>
    <row r="143" ht="15" customHeight="1" s="95">
      <c r="B143" s="81" t="inlineStr">
        <is>
          <t>30</t>
        </is>
      </c>
      <c r="C143" s="50" t="inlineStr">
        <is>
          <t>Насос 1Д500/63б</t>
        </is>
      </c>
      <c r="D143" s="45" t="n"/>
      <c r="E143" s="18" t="n">
        <v>7053.6</v>
      </c>
      <c r="F143" s="18" t="n"/>
      <c r="G143" s="81" t="n"/>
      <c r="H143" s="77" t="n"/>
    </row>
    <row r="144" ht="15" customHeight="1" s="95">
      <c r="B144" s="81" t="inlineStr">
        <is>
          <t>31</t>
        </is>
      </c>
      <c r="C144" s="51" t="inlineStr">
        <is>
          <t>Насос CRE20-01 G-F-A-E-HQQE</t>
        </is>
      </c>
      <c r="D144" s="45" t="n"/>
      <c r="E144" s="18" t="n">
        <v>7406.28</v>
      </c>
      <c r="F144" s="18" t="n"/>
      <c r="G144" s="81" t="n"/>
      <c r="H144" s="77" t="n"/>
    </row>
    <row r="145" ht="15" customHeight="1" s="95">
      <c r="B145" s="81" t="inlineStr">
        <is>
          <t>32</t>
        </is>
      </c>
      <c r="C145" s="50" t="inlineStr">
        <is>
          <t>Насос CR15-02 A-F-A-E-HQQE</t>
        </is>
      </c>
      <c r="D145" s="45" t="n"/>
      <c r="E145" s="18" t="n">
        <v>7406.28</v>
      </c>
      <c r="F145" s="18" t="n"/>
      <c r="G145" s="81" t="n"/>
      <c r="H145" s="77" t="n"/>
    </row>
    <row r="146" ht="15" customHeight="1" s="95">
      <c r="B146" s="81" t="inlineStr">
        <is>
          <t>33</t>
        </is>
      </c>
      <c r="C146" s="51" t="inlineStr">
        <is>
          <t>Насос ЦНС 180-1422...1900 3 ТМ</t>
        </is>
      </c>
      <c r="D146" s="45" t="n"/>
      <c r="E146" s="18" t="n">
        <v>39881.87</v>
      </c>
      <c r="F146" s="18" t="n"/>
      <c r="G146" s="81" t="n"/>
      <c r="H146" s="77" t="n"/>
    </row>
    <row r="147" ht="15" customHeight="1" s="95">
      <c r="B147" s="81" t="inlineStr">
        <is>
          <t>34</t>
        </is>
      </c>
      <c r="C147" s="51" t="inlineStr">
        <is>
          <t>Насос ЦНС 63-1422...1900 2 ТМ</t>
        </is>
      </c>
      <c r="D147" s="45" t="n"/>
      <c r="E147" s="18" t="n">
        <v>34381.12</v>
      </c>
      <c r="F147" s="18">
        <f>E147*D147</f>
        <v/>
      </c>
      <c r="G147" s="81" t="n"/>
      <c r="H147" s="77" t="n"/>
    </row>
    <row r="148" ht="15" customHeight="1" s="95">
      <c r="B148" s="81" t="inlineStr">
        <is>
          <t>35</t>
        </is>
      </c>
      <c r="C148" s="51" t="inlineStr">
        <is>
          <t>Насос ЦНС 13-70... 350</t>
        </is>
      </c>
      <c r="D148" s="45" t="n"/>
      <c r="E148" s="18" t="n">
        <v>6515.95</v>
      </c>
      <c r="F148" s="18">
        <f>E148*D148</f>
        <v/>
      </c>
      <c r="G148" s="81" t="n"/>
      <c r="H148" s="77" t="n"/>
    </row>
    <row r="149" ht="15" customHeight="1" s="95">
      <c r="B149" s="81" t="inlineStr">
        <is>
          <t>36</t>
        </is>
      </c>
      <c r="C149" s="51" t="inlineStr">
        <is>
          <t>Насос ЦНС 300/1422…1900</t>
        </is>
      </c>
      <c r="D149" s="45" t="n"/>
      <c r="E149" s="18" t="n">
        <v>39881.87</v>
      </c>
      <c r="F149" s="18">
        <f>E149*D149</f>
        <v/>
      </c>
      <c r="G149" s="81" t="n"/>
      <c r="H149" s="77" t="n"/>
    </row>
    <row r="150" ht="15" customHeight="1" s="95">
      <c r="B150" s="81" t="inlineStr">
        <is>
          <t>37</t>
        </is>
      </c>
      <c r="C150" s="51" t="inlineStr">
        <is>
          <t>Насос ЦНС 310/1422…1900</t>
        </is>
      </c>
      <c r="D150" s="45" t="n"/>
      <c r="E150" s="18" t="n">
        <v>39881.87</v>
      </c>
      <c r="F150" s="18">
        <f>E150*D150</f>
        <v/>
      </c>
      <c r="G150" s="81" t="n"/>
      <c r="H150" s="77" t="n"/>
    </row>
    <row r="151" ht="14.25" customHeight="1" s="95">
      <c r="B151" s="77" t="n"/>
      <c r="C151" s="78" t="inlineStr">
        <is>
          <t>ИТОГО</t>
        </is>
      </c>
      <c r="D151" s="81" t="n"/>
      <c r="E151" s="81" t="n"/>
      <c r="F151" s="18">
        <f>SUM(F114:F150)</f>
        <v/>
      </c>
      <c r="G151" s="81" t="n"/>
      <c r="H151" s="77" t="n"/>
    </row>
    <row r="152" ht="14.25" customHeight="1" s="95">
      <c r="B152" s="77" t="inlineStr">
        <is>
          <t>Установка оборудования</t>
        </is>
      </c>
      <c r="C152" s="78" t="n"/>
      <c r="D152" s="81" t="n"/>
      <c r="E152" s="81" t="n"/>
      <c r="F152" s="18" t="n"/>
      <c r="G152" s="81" t="n"/>
      <c r="H152" s="77" t="n"/>
    </row>
    <row r="153" ht="40.5" customHeight="1" s="95">
      <c r="B153" s="3" t="n">
        <v>1</v>
      </c>
      <c r="C153" s="52" t="inlineStr">
        <is>
          <t>Насос 12НА9/4; 12НА 22/6; НВ 50/50; НВ 50/80; НВЕ 50/50; НВЕ 50/80; НВД50/50; НВД 50/80; НВД35/90; ГХИ 6,3/32;</t>
        </is>
      </c>
      <c r="D153" s="81" t="n"/>
      <c r="E153" s="81" t="n">
        <v>5519.78</v>
      </c>
      <c r="F153" s="18">
        <f>E153*D153</f>
        <v/>
      </c>
      <c r="G153" s="81" t="n"/>
      <c r="H153" s="77" t="n"/>
    </row>
    <row r="154" ht="25.5" customHeight="1" s="95">
      <c r="B154" s="3" t="n">
        <v>2</v>
      </c>
      <c r="C154" s="52" t="inlineStr">
        <is>
          <t>Насос дозировочный типа НД, ДП, PIAX 32/28; PAX 32/12; BUL 6,3/64</t>
        </is>
      </c>
      <c r="D154" s="81" t="n"/>
      <c r="E154" s="81" t="n">
        <v>1559.69</v>
      </c>
      <c r="F154" s="18">
        <f>E154*D154</f>
        <v/>
      </c>
      <c r="G154" s="81" t="n"/>
      <c r="H154" s="77" t="n"/>
    </row>
    <row r="155" ht="16.5" customHeight="1" s="95">
      <c r="B155" s="3" t="n">
        <v>3</v>
      </c>
      <c r="C155" s="52" t="inlineStr">
        <is>
          <t>Насос ЦНС-38/44…220; ЦНС 13/70…350;  ЦГ 6,3/32;</t>
        </is>
      </c>
      <c r="D155" s="81" t="n"/>
      <c r="E155" s="81" t="n">
        <v>17361.15</v>
      </c>
      <c r="F155" s="18">
        <f>E155*D155</f>
        <v/>
      </c>
      <c r="G155" s="81" t="n"/>
      <c r="H155" s="77" t="n"/>
    </row>
    <row r="156" ht="15" customHeight="1" s="95">
      <c r="B156" s="3" t="n">
        <v>4</v>
      </c>
      <c r="C156" s="52" t="inlineStr">
        <is>
          <t>Насос 1Д630/90, Д630/125</t>
        </is>
      </c>
      <c r="D156" s="81" t="n"/>
      <c r="E156" s="81" t="n">
        <v>12708.86</v>
      </c>
      <c r="F156" s="18">
        <f>E156*D156</f>
        <v/>
      </c>
      <c r="G156" s="81" t="n"/>
      <c r="H156" s="77" t="n"/>
    </row>
    <row r="157" ht="44.25" customHeight="1" s="95">
      <c r="B157" s="3" t="n">
        <v>5</v>
      </c>
      <c r="C157" s="52" t="inlineStr">
        <is>
          <t>Насос К 65-50-160; К 65-40-100; К 65-50-160; К 80-50-200; КМН 80-65-175, К 100-80-160;К 100-65-200, КМ 160-65-200, 3Т13Н; ЦВК 6,3/160;ВКС 2/26;</t>
        </is>
      </c>
      <c r="D157" s="81" t="n"/>
      <c r="E157" s="81" t="n">
        <v>2047.93</v>
      </c>
      <c r="F157" s="18">
        <f>E157*D157</f>
        <v/>
      </c>
      <c r="G157" s="81" t="n"/>
      <c r="H157" s="77" t="n"/>
    </row>
    <row r="158" ht="15" customHeight="1" s="95">
      <c r="B158" s="3" t="n">
        <v>6</v>
      </c>
      <c r="C158" s="52" t="inlineStr">
        <is>
          <t>Насос НМШ 5/25; 8/25;</t>
        </is>
      </c>
      <c r="D158" s="81" t="n"/>
      <c r="E158" s="81" t="n">
        <v>1373.17</v>
      </c>
      <c r="F158" s="18">
        <f>E158*D158</f>
        <v/>
      </c>
      <c r="G158" s="81" t="n"/>
      <c r="H158" s="77" t="n"/>
    </row>
    <row r="159" ht="51" customHeight="1" s="95">
      <c r="B159" s="3" t="n">
        <v>7</v>
      </c>
      <c r="C159" s="52" t="inlineStr">
        <is>
          <t>Насос ЦНС-105/98...490; ЦНС 180/170…425; ЦНС-180/1422…1900; ЦНС 180/240/1422...1900 (2ТМ, 3ТМ); ЦНС 180/240/1422...1900 ЗК; ЦНС 63/1800; ЦНС 40/1400;</t>
        </is>
      </c>
      <c r="D159" s="81" t="n"/>
      <c r="E159" s="81" t="n">
        <v>40029.98</v>
      </c>
      <c r="F159" s="18">
        <f>E159*D159</f>
        <v/>
      </c>
      <c r="G159" s="81" t="n"/>
      <c r="H159" s="77" t="n"/>
    </row>
    <row r="160" ht="15" customHeight="1" s="95">
      <c r="B160" s="3" t="n">
        <v>8</v>
      </c>
      <c r="C160" s="52" t="inlineStr">
        <is>
          <t>Насос НПВ1250-60/90</t>
        </is>
      </c>
      <c r="D160" s="81" t="n"/>
      <c r="E160" s="81" t="n">
        <v>41116.26</v>
      </c>
      <c r="F160" s="18">
        <f>E160*D160</f>
        <v/>
      </c>
      <c r="G160" s="81" t="n"/>
      <c r="H160" s="77" t="n"/>
    </row>
    <row r="161" ht="25.5" customHeight="1" s="95">
      <c r="B161" s="3" t="n">
        <v>9</v>
      </c>
      <c r="C161" s="52" t="inlineStr">
        <is>
          <t>Насос 1Д200/90, 1Д315/71, 4Д200/90, 1Д320/70, 1Д250/125</t>
        </is>
      </c>
      <c r="D161" s="81" t="n"/>
      <c r="E161" s="81" t="n">
        <v>6310.95</v>
      </c>
      <c r="F161" s="18">
        <f>E161*D161</f>
        <v/>
      </c>
      <c r="G161" s="81" t="n"/>
      <c r="H161" s="77" t="n"/>
    </row>
    <row r="162" ht="15" customHeight="1" s="95">
      <c r="B162" s="3" t="n">
        <v>10</v>
      </c>
      <c r="C162" s="52" t="inlineStr">
        <is>
          <t>Насос ЦНС-60/66...330;</t>
        </is>
      </c>
      <c r="D162" s="81" t="n"/>
      <c r="E162" s="81" t="n">
        <v>17988.94</v>
      </c>
      <c r="F162" s="18">
        <f>E162*D162</f>
        <v/>
      </c>
      <c r="G162" s="81" t="n"/>
      <c r="H162" s="77" t="n"/>
    </row>
    <row r="163" ht="15" customHeight="1" s="95">
      <c r="B163" s="3" t="n">
        <v>11</v>
      </c>
      <c r="C163" s="52" t="inlineStr">
        <is>
          <t>Насос ЦНС-300/120…600</t>
        </is>
      </c>
      <c r="D163" s="81" t="n"/>
      <c r="E163" s="81" t="n">
        <v>42583.13</v>
      </c>
      <c r="F163" s="18">
        <f>E163*D163</f>
        <v/>
      </c>
      <c r="G163" s="81" t="n"/>
      <c r="H163" s="77" t="n"/>
    </row>
    <row r="164" ht="38.25" customHeight="1" s="95">
      <c r="B164" s="3" t="n">
        <v>12</v>
      </c>
      <c r="C164" s="52" t="inlineStr">
        <is>
          <t>Насос АХП 45/31; 12НА9/4; 12НА 22/6; НВ 50/50; НВ 50/80; НВЕ 50/50; НВЕ 50/80; НВД50/50; НВД 50/80; НВД35/90; ГХИ 6,3/32;</t>
        </is>
      </c>
      <c r="D164" s="81" t="n"/>
      <c r="E164" s="81" t="n">
        <v>5519.78</v>
      </c>
      <c r="F164" s="18">
        <f>E164*D164</f>
        <v/>
      </c>
      <c r="G164" s="81" t="n"/>
      <c r="H164" s="77" t="n"/>
    </row>
    <row r="165" ht="15" customHeight="1" s="95">
      <c r="B165" s="3" t="n">
        <v>13</v>
      </c>
      <c r="C165" s="52" t="inlineStr">
        <is>
          <t>Насос 1Д1250/90-125</t>
        </is>
      </c>
      <c r="D165" s="81" t="n"/>
      <c r="E165" s="81" t="n">
        <v>15135.48</v>
      </c>
      <c r="F165" s="18">
        <f>E165*D165</f>
        <v/>
      </c>
      <c r="G165" s="81" t="n"/>
      <c r="H165" s="77" t="n"/>
    </row>
    <row r="166" ht="23.25" customHeight="1" s="95">
      <c r="B166" s="3" t="n">
        <v>14</v>
      </c>
      <c r="C166" s="52" t="inlineStr">
        <is>
          <t>Насос KRGH 80/315,KRGH 200/500, KRGH 125/80/315</t>
        </is>
      </c>
      <c r="D166" s="81" t="n"/>
      <c r="E166" s="81" t="n">
        <v>21541.65</v>
      </c>
      <c r="F166" s="18">
        <f>E166*D166</f>
        <v/>
      </c>
      <c r="G166" s="81" t="n"/>
      <c r="H166" s="77" t="n"/>
    </row>
    <row r="167" ht="38.25" customHeight="1" s="95">
      <c r="B167" s="3" t="n">
        <v>15</v>
      </c>
      <c r="C167" s="52" t="inlineStr">
        <is>
          <t>Насос  АХП 45/31; 12НА9/4; 12НА 22/6; НВ 50/50; НВ 50/80; НВЕ 50/50; НВЕ 50/80; НВД50/50; НВД 50/80; НВД35/90; ГХИ 6,3/32;</t>
        </is>
      </c>
      <c r="D167" s="81" t="n"/>
      <c r="E167" s="81" t="n">
        <v>5519.78</v>
      </c>
      <c r="F167" s="18">
        <f>E167*D167</f>
        <v/>
      </c>
      <c r="G167" s="81" t="n"/>
      <c r="H167" s="77" t="n"/>
    </row>
    <row r="168" ht="15" customHeight="1" s="95">
      <c r="B168" s="3" t="n">
        <v>16</v>
      </c>
      <c r="C168" s="50" t="inlineStr">
        <is>
          <t>Насос 1Д500/63б</t>
        </is>
      </c>
      <c r="D168" s="81" t="n"/>
      <c r="E168" s="81" t="n">
        <v>12708.89</v>
      </c>
      <c r="F168" s="18">
        <f>E168*D168</f>
        <v/>
      </c>
      <c r="G168" s="81" t="n"/>
      <c r="H168" s="77" t="n"/>
    </row>
    <row r="169" ht="15" customHeight="1" s="95">
      <c r="B169" s="3" t="n">
        <v>17</v>
      </c>
      <c r="C169" s="51" t="inlineStr">
        <is>
          <t>Насос CRE20-01 G-F-A-E-HQQE</t>
        </is>
      </c>
      <c r="D169" s="81" t="n"/>
      <c r="E169" s="81" t="n">
        <v>5519.78</v>
      </c>
      <c r="F169" s="18">
        <f>E169*D169</f>
        <v/>
      </c>
      <c r="G169" s="81" t="n"/>
      <c r="H169" s="77" t="n"/>
    </row>
    <row r="170" ht="15" customHeight="1" s="95">
      <c r="B170" s="3" t="n">
        <v>18</v>
      </c>
      <c r="C170" s="50" t="inlineStr">
        <is>
          <t>Насос CR15-02 A-F-A-E-HQQE</t>
        </is>
      </c>
      <c r="D170" s="81" t="n"/>
      <c r="E170" s="81" t="n">
        <v>5519.78</v>
      </c>
      <c r="F170" s="18" t="n"/>
      <c r="G170" s="81" t="n"/>
      <c r="H170" s="77" t="n"/>
    </row>
    <row r="171" ht="15" customHeight="1" s="95">
      <c r="B171" s="3" t="n">
        <v>19</v>
      </c>
      <c r="C171" s="51" t="inlineStr">
        <is>
          <t>Насос ЦНС 180-1422...1900 3 ТМ</t>
        </is>
      </c>
      <c r="D171" s="81" t="n"/>
      <c r="E171" s="81" t="n">
        <v>37957.98</v>
      </c>
      <c r="F171" s="18" t="n"/>
      <c r="G171" s="81" t="n"/>
      <c r="H171" s="77" t="n"/>
    </row>
    <row r="172" ht="15" customHeight="1" s="95">
      <c r="B172" s="3" t="n">
        <v>20</v>
      </c>
      <c r="C172" s="51" t="inlineStr">
        <is>
          <t>Насос ЦНС 63-1422...1900 2 ТМ</t>
        </is>
      </c>
      <c r="D172" s="81" t="n"/>
      <c r="E172" s="81" t="n">
        <v>37957.98</v>
      </c>
      <c r="F172" s="18" t="n"/>
      <c r="G172" s="81" t="n"/>
      <c r="H172" s="77" t="n"/>
    </row>
    <row r="173" ht="15" customHeight="1" s="95">
      <c r="B173" s="3" t="n">
        <v>21</v>
      </c>
      <c r="C173" s="51" t="inlineStr">
        <is>
          <t>Насос ЦНС 13-70... 350</t>
        </is>
      </c>
      <c r="D173" s="81" t="n"/>
      <c r="E173" s="81" t="n">
        <v>17361.15</v>
      </c>
      <c r="F173" s="18">
        <f>E173*D173</f>
        <v/>
      </c>
      <c r="G173" s="81" t="n"/>
      <c r="H173" s="77" t="n"/>
    </row>
    <row r="174" ht="15" customHeight="1" s="95">
      <c r="B174" s="3" t="n">
        <v>22</v>
      </c>
      <c r="C174" s="51" t="inlineStr">
        <is>
          <t>Насос ЦНС 300/1422…1900</t>
        </is>
      </c>
      <c r="D174" s="81" t="n"/>
      <c r="E174" s="81" t="n">
        <v>37957.96</v>
      </c>
      <c r="F174" s="18">
        <f>E174*D174</f>
        <v/>
      </c>
      <c r="G174" s="81" t="n"/>
      <c r="H174" s="77" t="n"/>
    </row>
    <row r="175" ht="15" customHeight="1" s="95">
      <c r="B175" s="3" t="n">
        <v>23</v>
      </c>
      <c r="C175" s="51" t="inlineStr">
        <is>
          <t>Насос ЦНС 310/1422…1900</t>
        </is>
      </c>
      <c r="D175" s="45" t="n"/>
      <c r="E175" s="18" t="n">
        <v>37957.96</v>
      </c>
      <c r="F175" s="18">
        <f>E175*D175</f>
        <v/>
      </c>
      <c r="G175" s="81" t="n"/>
      <c r="H175" s="77" t="n"/>
    </row>
    <row r="176" ht="15" customHeight="1" s="95">
      <c r="B176" s="77" t="n"/>
      <c r="C176" s="78" t="inlineStr">
        <is>
          <t>ИТОГО</t>
        </is>
      </c>
      <c r="D176" s="81" t="n"/>
      <c r="E176" s="81" t="n"/>
      <c r="F176" s="18">
        <f>SUM(F153:F175)</f>
        <v/>
      </c>
      <c r="G176" s="81" t="n"/>
      <c r="H176" s="77" t="n"/>
    </row>
    <row r="177" ht="15" customHeight="1" s="95">
      <c r="B177" s="77" t="inlineStr">
        <is>
          <t>Снятие оборудования</t>
        </is>
      </c>
      <c r="C177" s="78" t="n"/>
      <c r="D177" s="81" t="n"/>
      <c r="E177" s="81" t="n"/>
      <c r="F177" s="3" t="n"/>
      <c r="G177" s="81" t="n"/>
      <c r="H177" s="77" t="n"/>
    </row>
    <row r="178" ht="38.25" customHeight="1" s="95">
      <c r="B178" s="3" t="n">
        <v>1</v>
      </c>
      <c r="C178" s="78" t="inlineStr">
        <is>
          <t>Насос 12НА9/4; 12НА 22/6; НВ 50/50; НВ 50/80; НВЕ 50/50; НВЕ 50/80; НВД50/50; НВД 50/80; НВД35/90; ГХИ 6,3/32;</t>
        </is>
      </c>
      <c r="D178" s="81" t="n"/>
      <c r="E178" s="81" t="n">
        <v>1204.93</v>
      </c>
      <c r="F178" s="3">
        <f>E178*D178</f>
        <v/>
      </c>
      <c r="G178" s="81" t="n"/>
      <c r="H178" s="77" t="n"/>
    </row>
    <row r="179" ht="25.5" customHeight="1" s="95">
      <c r="B179" s="3" t="n">
        <v>2</v>
      </c>
      <c r="C179" s="78" t="inlineStr">
        <is>
          <t>Насос дозировочный типа НД, ДП, PIAX 32/28; PAX 32/12; BUL 6,3/64</t>
        </is>
      </c>
      <c r="D179" s="81" t="n"/>
      <c r="E179" s="81" t="n">
        <v>204.01</v>
      </c>
      <c r="F179" s="3">
        <f>E179*D179</f>
        <v/>
      </c>
      <c r="G179" s="81" t="n"/>
      <c r="H179" s="77" t="n"/>
    </row>
    <row r="180" ht="15" customHeight="1" s="95">
      <c r="B180" s="3" t="n">
        <v>3</v>
      </c>
      <c r="C180" s="78" t="inlineStr">
        <is>
          <t>Насос ЦНС-300/120…600</t>
        </is>
      </c>
      <c r="D180" s="81" t="n"/>
      <c r="E180" s="81" t="n">
        <v>13670.84</v>
      </c>
      <c r="F180" s="3">
        <f>E180*D180</f>
        <v/>
      </c>
      <c r="G180" s="81" t="n"/>
      <c r="H180" s="77" t="n"/>
    </row>
    <row r="181" ht="21.75" customHeight="1" s="95">
      <c r="B181" s="3" t="n">
        <v>4</v>
      </c>
      <c r="C181" s="78" t="inlineStr">
        <is>
          <t>Насос ЦНС-38/44…220; ЦНС 13/70…350;  ЦГ 6,3/32;</t>
        </is>
      </c>
      <c r="D181" s="81" t="n"/>
      <c r="E181" s="81" t="n">
        <v>4657.5</v>
      </c>
      <c r="F181" s="3">
        <f>E181*D181</f>
        <v/>
      </c>
      <c r="G181" s="81" t="n"/>
      <c r="H181" s="77" t="n"/>
    </row>
    <row r="182" ht="15" customHeight="1" s="95">
      <c r="B182" s="3" t="n">
        <v>5</v>
      </c>
      <c r="C182" s="78" t="inlineStr">
        <is>
          <t>Насос 1Д630/90, Д630/125</t>
        </is>
      </c>
      <c r="D182" s="81" t="n"/>
      <c r="E182" s="81" t="n">
        <v>4884.74</v>
      </c>
      <c r="F182" s="3">
        <f>E182*D182</f>
        <v/>
      </c>
      <c r="G182" s="81" t="n"/>
      <c r="H182" s="77" t="n"/>
    </row>
    <row r="183" ht="38.25" customHeight="1" s="95">
      <c r="B183" s="3" t="n">
        <v>6</v>
      </c>
      <c r="C183" s="78" t="inlineStr">
        <is>
          <t>Насос К 65-50-160; К 65-40-100; К 65-50-160; К 80-50-200; КМН 80-65-175, К 100-80-160;К 100-65-200, КМ 160-65-200, 3Т13Н; ЦВК 6,3/160;ВКС 2/26;</t>
        </is>
      </c>
      <c r="D183" s="81" t="n"/>
      <c r="E183" s="81" t="n">
        <v>357.91</v>
      </c>
      <c r="F183" s="3">
        <f>E183*D183</f>
        <v/>
      </c>
      <c r="G183" s="81" t="n"/>
      <c r="H183" s="77" t="n"/>
    </row>
    <row r="184" ht="15" customHeight="1" s="95">
      <c r="B184" s="3" t="n">
        <v>7</v>
      </c>
      <c r="C184" s="78" t="inlineStr">
        <is>
          <t>Насос НМШ 5/25; 8/25;</t>
        </is>
      </c>
      <c r="D184" s="81" t="n"/>
      <c r="E184" s="81" t="n">
        <v>276.95</v>
      </c>
      <c r="F184" s="3">
        <f>E184*D184</f>
        <v/>
      </c>
      <c r="G184" s="81" t="n"/>
      <c r="H184" s="77" t="n"/>
    </row>
    <row r="185" ht="51" customHeight="1" s="95">
      <c r="B185" s="3" t="n">
        <v>8</v>
      </c>
      <c r="C185" s="78" t="inlineStr">
        <is>
          <t>Насос ЦНС-105/98...490; ЦНС 180/170…425; ЦНС-180/1422…1900; ЦНС 180/240/1422...1900 (2ТМ, 3ТМ); ЦНС 180/240/1422...1900 ЗК; ЦНС 63/1800; ЦНС 40/1400;</t>
        </is>
      </c>
      <c r="D185" s="81" t="n"/>
      <c r="E185" s="81" t="n">
        <v>11253.38</v>
      </c>
      <c r="F185" s="3">
        <f>E185*D185</f>
        <v/>
      </c>
      <c r="G185" s="81" t="n"/>
      <c r="H185" s="77" t="n"/>
    </row>
    <row r="186" ht="15" customHeight="1" s="95">
      <c r="B186" s="3" t="n">
        <v>9</v>
      </c>
      <c r="C186" s="78" t="inlineStr">
        <is>
          <t>Насос НПВ1250-60/90</t>
        </is>
      </c>
      <c r="D186" s="81" t="n"/>
      <c r="E186" s="81" t="n">
        <v>1226.32</v>
      </c>
      <c r="F186" s="3">
        <f>E186*D186</f>
        <v/>
      </c>
      <c r="G186" s="81" t="n"/>
      <c r="H186" s="77" t="n"/>
    </row>
    <row r="187" ht="25.5" customHeight="1" s="95">
      <c r="B187" s="3" t="n">
        <v>10</v>
      </c>
      <c r="C187" s="78" t="inlineStr">
        <is>
          <t>Насос 1Д200/90, 1Д315/71, 4Д200/90, 1Д320/70, 1Д250/125</t>
        </is>
      </c>
      <c r="D187" s="81" t="n"/>
      <c r="E187" s="81" t="n">
        <v>1941.26</v>
      </c>
      <c r="F187" s="3">
        <f>E187*D187</f>
        <v/>
      </c>
      <c r="G187" s="81" t="n"/>
      <c r="H187" s="77" t="n"/>
    </row>
    <row r="188" ht="15" customHeight="1" s="95">
      <c r="B188" s="3" t="n">
        <v>11</v>
      </c>
      <c r="C188" s="78" t="inlineStr">
        <is>
          <t>Насос ЦНС-60/66...330;</t>
        </is>
      </c>
      <c r="D188" s="81" t="n"/>
      <c r="E188" s="81" t="n">
        <v>6396.48</v>
      </c>
      <c r="F188" s="3">
        <f>E188*D188</f>
        <v/>
      </c>
      <c r="G188" s="81" t="n"/>
      <c r="H188" s="77" t="n"/>
    </row>
    <row r="189" ht="38.25" customHeight="1" s="95">
      <c r="B189" s="3" t="n">
        <v>12</v>
      </c>
      <c r="C189" s="78" t="inlineStr">
        <is>
          <t>Насос АХП 45/31; 12НА9/4; 12НА 22/6; НВ 50/50; НВ 50/80; НВЕ 50/50; НВЕ 50/80; НВД50/50; НВД 50/80; НВД35/90; ГХИ 6,3/32;</t>
        </is>
      </c>
      <c r="D189" s="81" t="n"/>
      <c r="E189" s="81" t="n">
        <v>1204.93</v>
      </c>
      <c r="F189" s="3">
        <f>E189*D189</f>
        <v/>
      </c>
      <c r="G189" s="81" t="n"/>
      <c r="H189" s="77" t="n"/>
    </row>
    <row r="190" ht="15" customHeight="1" s="95">
      <c r="B190" s="3" t="n">
        <v>13</v>
      </c>
      <c r="C190" s="78" t="inlineStr">
        <is>
          <t>Насос 1Д1250/90-125</t>
        </is>
      </c>
      <c r="D190" s="81" t="n"/>
      <c r="E190" s="81" t="n">
        <v>6164.09</v>
      </c>
      <c r="F190" s="3">
        <f>E190*D190</f>
        <v/>
      </c>
      <c r="G190" s="81" t="n"/>
      <c r="H190" s="77" t="n"/>
    </row>
    <row r="191" ht="19.5" customHeight="1" s="95">
      <c r="B191" s="3" t="n">
        <v>14</v>
      </c>
      <c r="C191" s="78" t="inlineStr">
        <is>
          <t>Насос KRGH 80/315,KRGH 200/500, KRGH 125/80/315</t>
        </is>
      </c>
      <c r="D191" s="81" t="n"/>
      <c r="E191" s="81" t="n">
        <v>9896.059999999999</v>
      </c>
      <c r="F191" s="3" t="n"/>
      <c r="G191" s="81" t="n"/>
      <c r="H191" s="77" t="n"/>
    </row>
    <row r="192" ht="15" customHeight="1" s="95">
      <c r="B192" s="3" t="n">
        <v>15</v>
      </c>
      <c r="C192" s="78" t="inlineStr">
        <is>
          <t>Станок-качалка (СК)</t>
        </is>
      </c>
      <c r="D192" s="81" t="n"/>
      <c r="E192" s="81" t="n">
        <v>14097.33</v>
      </c>
      <c r="F192" s="3" t="n"/>
      <c r="G192" s="81" t="n"/>
      <c r="H192" s="77" t="n"/>
    </row>
    <row r="193" ht="15" customHeight="1" s="95">
      <c r="B193" s="3" t="n">
        <v>16</v>
      </c>
      <c r="C193" s="78" t="inlineStr">
        <is>
          <t>Демонтаж балансира</t>
        </is>
      </c>
      <c r="D193" s="81" t="n"/>
      <c r="E193" s="81" t="n">
        <v>10520.32</v>
      </c>
      <c r="F193" s="3" t="n"/>
      <c r="G193" s="81" t="n"/>
      <c r="H193" s="77" t="n"/>
    </row>
    <row r="194" ht="15" customHeight="1" s="95">
      <c r="B194" s="3" t="n">
        <v>17</v>
      </c>
      <c r="C194" s="78" t="inlineStr">
        <is>
          <t>Основание СК (свайное поле)</t>
        </is>
      </c>
      <c r="D194" s="81" t="n"/>
      <c r="E194" s="81" t="n">
        <v>21359.93</v>
      </c>
      <c r="F194" s="3" t="n"/>
      <c r="G194" s="81" t="n"/>
      <c r="H194" s="77" t="n"/>
    </row>
    <row r="195" ht="15" customHeight="1" s="95">
      <c r="B195" s="3" t="n">
        <v>18</v>
      </c>
      <c r="C195" s="78" t="inlineStr">
        <is>
          <t>Насос 1Д500/63б</t>
        </is>
      </c>
      <c r="D195" s="81" t="n"/>
      <c r="E195" s="81" t="n">
        <v>4884.74</v>
      </c>
      <c r="F195" s="3" t="n"/>
      <c r="G195" s="81" t="n"/>
      <c r="H195" s="77" t="n"/>
    </row>
    <row r="196" ht="15" customHeight="1" s="95">
      <c r="B196" s="3" t="n">
        <v>19</v>
      </c>
      <c r="C196" s="78" t="inlineStr">
        <is>
          <t>Насос CRE20-01 G-F-A-E-HQQE</t>
        </is>
      </c>
      <c r="D196" s="81" t="n"/>
      <c r="E196" s="81" t="n">
        <v>2240.93</v>
      </c>
      <c r="F196" s="3" t="n"/>
      <c r="G196" s="81" t="n"/>
      <c r="H196" s="77" t="n"/>
    </row>
    <row r="197" ht="15" customHeight="1" s="95">
      <c r="B197" s="3" t="n">
        <v>20</v>
      </c>
      <c r="C197" s="78" t="inlineStr">
        <is>
          <t>Насос CR15-02 A-F-A-E-HQQE</t>
        </is>
      </c>
      <c r="D197" s="81" t="n"/>
      <c r="E197" s="81" t="n">
        <v>2240.93</v>
      </c>
      <c r="F197" s="3">
        <f>E197*D197</f>
        <v/>
      </c>
      <c r="G197" s="81" t="n"/>
      <c r="H197" s="77" t="n"/>
    </row>
    <row r="198" ht="15" customHeight="1" s="95">
      <c r="B198" s="3" t="n">
        <v>21</v>
      </c>
      <c r="C198" s="78" t="inlineStr">
        <is>
          <t>Насос ЦНС 180-1422...1900 3 ТМ</t>
        </is>
      </c>
      <c r="D198" s="81" t="n"/>
      <c r="E198" s="81" t="n">
        <v>11253.38</v>
      </c>
      <c r="F198" s="3">
        <f>E198*D198</f>
        <v/>
      </c>
      <c r="G198" s="81" t="n"/>
      <c r="H198" s="77" t="n"/>
    </row>
    <row r="199" ht="15" customHeight="1" s="95">
      <c r="B199" s="3" t="n">
        <v>22</v>
      </c>
      <c r="C199" s="78" t="inlineStr">
        <is>
          <t>Насос ЦНС 63-1422...1900 2 ТМ</t>
        </is>
      </c>
      <c r="D199" s="81" t="n"/>
      <c r="E199" s="81" t="n">
        <v>11253.38</v>
      </c>
      <c r="F199" s="3">
        <f>E199*D199</f>
        <v/>
      </c>
      <c r="G199" s="81" t="n"/>
      <c r="H199" s="77" t="n"/>
    </row>
    <row r="200" ht="15" customHeight="1" s="95">
      <c r="B200" s="3" t="n">
        <v>23</v>
      </c>
      <c r="C200" s="78" t="inlineStr">
        <is>
          <t>Насос ЦНС 13-70... 350</t>
        </is>
      </c>
      <c r="D200" s="81" t="n"/>
      <c r="E200" s="81" t="n">
        <v>4657.5</v>
      </c>
      <c r="F200" s="3">
        <f>E200*D200</f>
        <v/>
      </c>
      <c r="G200" s="81" t="n"/>
      <c r="H200" s="77" t="n"/>
    </row>
    <row r="201" ht="15" customHeight="1" s="95">
      <c r="B201" s="3" t="n">
        <v>24</v>
      </c>
      <c r="C201" s="78" t="inlineStr">
        <is>
          <t>Насос ЦНС 300/1422…1900</t>
        </is>
      </c>
      <c r="D201" s="81" t="n"/>
      <c r="E201" s="81" t="n">
        <v>11253.38</v>
      </c>
      <c r="F201" s="3">
        <f>E201*D201</f>
        <v/>
      </c>
      <c r="G201" s="81" t="n"/>
      <c r="H201" s="77" t="n"/>
    </row>
    <row r="202" ht="15" customHeight="1" s="95">
      <c r="B202" s="3" t="n">
        <v>25</v>
      </c>
      <c r="C202" s="78" t="inlineStr">
        <is>
          <t>Насос ЦНС 310/1422…1900</t>
        </is>
      </c>
      <c r="D202" s="81" t="n"/>
      <c r="E202" s="81" t="n">
        <v>11253.38</v>
      </c>
      <c r="F202" s="3">
        <f>E202*D202</f>
        <v/>
      </c>
      <c r="G202" s="81" t="n"/>
      <c r="H202" s="77" t="n"/>
    </row>
    <row r="203" ht="14.25" customHeight="1" s="95">
      <c r="B203" s="3" t="n"/>
      <c r="C203" s="78" t="inlineStr">
        <is>
          <t>ИТОГО</t>
        </is>
      </c>
      <c r="D203" s="81" t="n"/>
      <c r="E203" s="81" t="n"/>
      <c r="F203" s="3">
        <f>SUM(F178:F202)</f>
        <v/>
      </c>
      <c r="G203" s="81" t="n"/>
      <c r="H203" s="77" t="n"/>
    </row>
    <row r="204" ht="15" customHeight="1" s="95">
      <c r="B204" s="77" t="inlineStr">
        <is>
          <t>Прочие работы</t>
        </is>
      </c>
      <c r="C204" s="78" t="n"/>
      <c r="D204" s="81" t="n"/>
      <c r="E204" s="81" t="n"/>
      <c r="F204" s="3" t="n"/>
      <c r="G204" s="81" t="n"/>
      <c r="H204" s="77" t="n"/>
    </row>
    <row r="205" ht="15" customHeight="1" s="95">
      <c r="B205" s="3" t="n">
        <v>1</v>
      </c>
      <c r="C205" s="78" t="inlineStr">
        <is>
          <t>Снятие, установка с обвзякой БГ</t>
        </is>
      </c>
      <c r="D205" s="81" t="n"/>
      <c r="E205" s="81" t="n">
        <v>325283.1</v>
      </c>
      <c r="F205" s="3">
        <f>E205*D205</f>
        <v/>
      </c>
      <c r="G205" s="81" t="n"/>
      <c r="H205" s="77" t="n"/>
    </row>
    <row r="206" ht="15" customHeight="1" s="95">
      <c r="B206" s="3" t="n">
        <v>2</v>
      </c>
      <c r="C206" s="78" t="inlineStr">
        <is>
          <t>Снятие, установка с обвзякой АГЗУ</t>
        </is>
      </c>
      <c r="D206" s="81" t="n"/>
      <c r="E206" s="81" t="n">
        <v>379231.49</v>
      </c>
      <c r="F206" s="3" t="n"/>
      <c r="G206" s="81" t="n"/>
      <c r="H206" s="77" t="n"/>
    </row>
    <row r="207" ht="21" customHeight="1" s="95">
      <c r="B207" s="3" t="n">
        <v>3</v>
      </c>
      <c r="C207" s="78" t="inlineStr">
        <is>
          <t>Установка площадки обслуживания скважин</t>
        </is>
      </c>
      <c r="D207" s="81" t="n"/>
      <c r="E207" s="81" t="n">
        <v>10115.25</v>
      </c>
      <c r="F207" s="3">
        <f>E207*D207</f>
        <v/>
      </c>
      <c r="G207" s="81" t="n"/>
      <c r="H207" s="77" t="n"/>
    </row>
    <row r="208" ht="14.25" customHeight="1" s="95">
      <c r="B208" s="3" t="n"/>
      <c r="C208" s="78" t="inlineStr">
        <is>
          <t>ИТОГО</t>
        </is>
      </c>
      <c r="D208" s="81" t="n"/>
      <c r="E208" s="81" t="n"/>
      <c r="F208" s="3">
        <f>SUM(F205:F207)</f>
        <v/>
      </c>
      <c r="G208" s="81" t="n"/>
      <c r="H208" s="77" t="n"/>
    </row>
    <row r="209" ht="15.75" customHeight="1" s="95">
      <c r="B209" s="13" t="inlineStr">
        <is>
          <t>Итого:</t>
        </is>
      </c>
      <c r="D209" s="81" t="n"/>
      <c r="E209" s="81" t="n"/>
      <c r="F209" s="18">
        <f>F208+F203+F176+F151+F112+F64</f>
        <v/>
      </c>
      <c r="H209" s="3">
        <f>F203+F176+F152+F151+F112+F64</f>
        <v/>
      </c>
      <c r="I209" s="82">
        <f>F203+F176+F151+F112+F64</f>
        <v/>
      </c>
    </row>
    <row r="210" ht="14.25" customHeight="1" s="95">
      <c r="B210" s="13" t="inlineStr">
        <is>
          <t>НДС 18%</t>
        </is>
      </c>
      <c r="D210" s="81" t="n"/>
      <c r="E210" s="81" t="n"/>
      <c r="F210" s="18">
        <f>F209*0.18</f>
        <v/>
      </c>
      <c r="G210" s="81" t="n"/>
    </row>
    <row r="211" ht="14.25" customHeight="1" s="95">
      <c r="B211" s="13" t="inlineStr">
        <is>
          <t>Всего с НДС</t>
        </is>
      </c>
      <c r="D211" s="81" t="n"/>
      <c r="E211" s="81" t="n"/>
      <c r="F211" s="18">
        <f>F209+F210</f>
        <v/>
      </c>
      <c r="G211" s="81" t="n"/>
    </row>
    <row r="212" ht="24.75" customHeight="1" s="95">
      <c r="B212" s="13" t="n"/>
      <c r="D212" s="81" t="n"/>
      <c r="E212" s="81" t="n"/>
      <c r="F212" s="18" t="n"/>
      <c r="L212" s="3" t="n"/>
    </row>
    <row r="213" ht="12.75" customFormat="1" customHeight="1" s="77">
      <c r="B213" s="80" t="inlineStr">
        <is>
          <t>ИСПОЛНИТЕЛЬ:</t>
        </is>
      </c>
      <c r="C213" s="82" t="n"/>
      <c r="D213" s="80" t="n"/>
      <c r="E213" s="80" t="inlineStr">
        <is>
          <t>ЗАКАЗЧИК:</t>
        </is>
      </c>
      <c r="G213" s="3" t="n"/>
      <c r="L213" s="3" t="n"/>
    </row>
    <row r="214" customFormat="1" s="77">
      <c r="A214" s="82" t="inlineStr">
        <is>
          <t>Генеральный директор</t>
        </is>
      </c>
      <c r="B214" s="8" t="n"/>
      <c r="C214" s="8" t="n"/>
      <c r="D214" s="80" t="n"/>
      <c r="E214" s="77" t="inlineStr">
        <is>
          <t xml:space="preserve">И.О.Главного инженера – заместителя </t>
        </is>
      </c>
      <c r="F214" s="44" t="n"/>
      <c r="H214" s="44" t="n"/>
    </row>
    <row r="215" ht="20.25" customFormat="1" customHeight="1" s="77">
      <c r="B215" s="8" t="n"/>
      <c r="C215" s="8" t="n"/>
      <c r="D215" s="80" t="n"/>
      <c r="E215" s="77" t="inlineStr">
        <is>
          <t xml:space="preserve">генерального директора </t>
        </is>
      </c>
      <c r="F215" s="44" t="n"/>
      <c r="H215" s="44" t="n"/>
    </row>
    <row r="216" ht="24" customFormat="1" customHeight="1" s="77">
      <c r="A216" s="22" t="inlineStr">
        <is>
          <t>ООО "ЯмалСпецЦентр"</t>
        </is>
      </c>
      <c r="B216" s="8" t="n"/>
      <c r="C216" s="8" t="n"/>
      <c r="D216" s="80" t="n"/>
      <c r="E216" s="77" t="inlineStr">
        <is>
          <t xml:space="preserve">АО "Газпромнефть-Ноябрьскнефтегаз"                                  </t>
        </is>
      </c>
      <c r="F216" s="44" t="n"/>
      <c r="H216" s="44" t="n"/>
    </row>
    <row r="217" ht="26.25" customFormat="1" customHeight="1" s="77">
      <c r="A217" s="82" t="inlineStr">
        <is>
          <t>_________________А.Г. Воронин</t>
        </is>
      </c>
      <c r="B217" s="86" t="n"/>
      <c r="C217" s="86" t="n"/>
      <c r="D217" s="78" t="n"/>
      <c r="E217" s="82" t="inlineStr">
        <is>
          <t>_________________ В.В. Климанов</t>
        </is>
      </c>
      <c r="G217" s="82" t="n"/>
    </row>
    <row r="218" customFormat="1" s="77">
      <c r="A218" s="83" t="inlineStr">
        <is>
          <t xml:space="preserve">                        М.П.</t>
        </is>
      </c>
      <c r="D218" s="80" t="n"/>
      <c r="E218" s="49" t="inlineStr">
        <is>
          <t xml:space="preserve">                        М.П.</t>
        </is>
      </c>
      <c r="F218" s="84" t="n"/>
      <c r="G218" s="49" t="n"/>
      <c r="H218" s="84" t="n"/>
    </row>
    <row r="219" ht="15" customFormat="1" customHeight="1" s="77">
      <c r="A219" s="84" t="n"/>
      <c r="D219" s="10" t="n"/>
      <c r="E219" s="11" t="inlineStr">
        <is>
          <t xml:space="preserve"> Доверенность № Д-324 от 25.12.2017 г..</t>
        </is>
      </c>
      <c r="F219" s="11" t="n"/>
      <c r="G219" s="11" t="n"/>
      <c r="H219" s="11" t="n"/>
    </row>
    <row r="220" ht="13.5" customFormat="1" customHeight="1" s="77">
      <c r="A220" s="30" t="n"/>
      <c r="B220" s="83" t="n"/>
      <c r="C220" s="8" t="n"/>
      <c r="D220" s="20" t="n"/>
      <c r="E220" s="20" t="n"/>
      <c r="F220" s="20" t="n"/>
      <c r="G220" s="20" t="n"/>
    </row>
    <row r="221" customFormat="1" s="77">
      <c r="A221" s="35" t="inlineStr">
        <is>
          <t>СОГЛАСОВАНО:</t>
        </is>
      </c>
      <c r="B221" s="33" t="n"/>
      <c r="C221" s="8" t="n"/>
      <c r="D221" s="80" t="n"/>
      <c r="E221" s="35" t="inlineStr">
        <is>
          <t>СОГЛАСОВАНО:</t>
        </is>
      </c>
      <c r="F221" s="36" t="n"/>
      <c r="G221" s="3" t="n"/>
    </row>
    <row r="222" customFormat="1" s="77">
      <c r="A222" s="32" t="n"/>
      <c r="B222" s="33" t="n"/>
      <c r="C222" s="8" t="n"/>
      <c r="D222" s="80" t="n"/>
      <c r="E222" s="35" t="n"/>
      <c r="F222" s="36" t="n"/>
      <c r="G222" s="3" t="n"/>
    </row>
    <row r="223" ht="18" customFormat="1" customHeight="1" s="77">
      <c r="A223" s="86" t="inlineStr">
        <is>
          <t>Начальник ПЭО</t>
        </is>
      </c>
      <c r="D223" s="78" t="n"/>
      <c r="E223" s="37" t="inlineStr">
        <is>
          <t>Главный механик - начальник УОРНПО</t>
        </is>
      </c>
      <c r="F223" s="82" t="n"/>
      <c r="G223" s="3" t="n"/>
    </row>
    <row r="224" customFormat="1" s="77">
      <c r="A224" s="76" t="n"/>
      <c r="C224" s="78" t="n"/>
      <c r="D224" s="80" t="n"/>
      <c r="E224" s="37" t="n"/>
      <c r="F224" s="34" t="n"/>
      <c r="G224" s="3" t="n"/>
    </row>
    <row r="225" customFormat="1" s="77">
      <c r="A225" s="82" t="n"/>
      <c r="B225" s="21" t="inlineStr">
        <is>
          <t>_________________А.С. Бойчук</t>
        </is>
      </c>
      <c r="C225" s="47" t="n"/>
      <c r="D225" s="12" t="n"/>
      <c r="E225" s="12" t="inlineStr">
        <is>
          <t>______________С.Ю. Шерстобитов</t>
        </is>
      </c>
      <c r="F225" s="34" t="n"/>
      <c r="G225" s="3" t="n"/>
      <c r="H225" s="19" t="n"/>
    </row>
    <row r="226" customFormat="1" s="77">
      <c r="B226" s="39" t="n"/>
      <c r="C226" s="40" t="n"/>
      <c r="D226" s="12" t="n"/>
      <c r="E226" s="12" t="n"/>
      <c r="F226" s="34" t="n"/>
      <c r="G226" s="3" t="n"/>
      <c r="H226" s="19" t="n"/>
    </row>
    <row r="227" ht="12.75" customFormat="1" customHeight="1" s="77">
      <c r="B227" s="11" t="n"/>
      <c r="C227" s="8" t="n"/>
      <c r="D227" s="78" t="n"/>
      <c r="E227" s="38" t="inlineStr">
        <is>
          <t>Планово-бюджетное управление</t>
        </is>
      </c>
      <c r="F227" s="34" t="n"/>
      <c r="G227" s="3" t="n"/>
    </row>
    <row r="228" ht="15.75" customFormat="1" customHeight="1" s="77">
      <c r="B228" s="82" t="n"/>
      <c r="C228" s="82" t="n"/>
      <c r="D228" s="13" t="n"/>
      <c r="E228" s="14" t="inlineStr">
        <is>
          <t>___________________________</t>
        </is>
      </c>
      <c r="F228" s="34" t="n"/>
      <c r="G228" s="3" t="n"/>
    </row>
    <row r="229" ht="15.75" customFormat="1" customHeight="1" s="77">
      <c r="B229" s="82" t="n"/>
      <c r="C229" s="82" t="n"/>
      <c r="D229" s="14" t="n"/>
      <c r="E229" s="81" t="n"/>
      <c r="F229" s="81" t="n"/>
      <c r="G229" s="3" t="n"/>
    </row>
    <row r="230" ht="6" customHeight="1" s="95">
      <c r="B230" s="6" t="n"/>
      <c r="C230" s="81" t="n"/>
      <c r="D230" s="81" t="n"/>
      <c r="E230" s="81" t="n"/>
      <c r="F230" s="81" t="n"/>
      <c r="G230" s="81" t="n"/>
    </row>
    <row r="231" ht="12.75" customHeight="1" s="95">
      <c r="B231" s="6" t="n"/>
      <c r="C231" s="81" t="n"/>
      <c r="D231" s="81" t="n"/>
      <c r="E231" s="81" t="n"/>
      <c r="F231" s="81" t="n"/>
      <c r="G231" s="81" t="n"/>
    </row>
  </sheetData>
  <mergeCells count="15">
    <mergeCell ref="A224:B224"/>
    <mergeCell ref="B2:C2"/>
    <mergeCell ref="E6:I6"/>
    <mergeCell ref="E213:F213"/>
    <mergeCell ref="E16:E18"/>
    <mergeCell ref="C16:C18"/>
    <mergeCell ref="A218:C218"/>
    <mergeCell ref="F16:F18"/>
    <mergeCell ref="A219:C219"/>
    <mergeCell ref="B5:C6"/>
    <mergeCell ref="E5:F5"/>
    <mergeCell ref="A223:C223"/>
    <mergeCell ref="D16:D18"/>
    <mergeCell ref="B16:B18"/>
    <mergeCell ref="E2:H2"/>
  </mergeCells>
  <printOptions horizontalCentered="1"/>
  <pageMargins left="0.5905511811023623" right="0.1968503937007874" top="0.984251968503937" bottom="0.7874015748031497" header="0.1181102362204725" footer="0.314960629921259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70"/>
  <sheetViews>
    <sheetView tabSelected="1" topLeftCell="A16" zoomScale="90" zoomScaleNormal="90" workbookViewId="0">
      <selection activeCell="J26" sqref="J26"/>
    </sheetView>
  </sheetViews>
  <sheetFormatPr baseColWidth="8" defaultRowHeight="15"/>
  <cols>
    <col width="9.5703125" customWidth="1" style="95" min="1" max="1"/>
    <col width="13.42578125" customWidth="1" style="95" min="2" max="2"/>
    <col width="31.42578125" customWidth="1" style="95" min="3" max="3"/>
    <col width="17.42578125" customWidth="1" style="95" min="4" max="4"/>
    <col width="26.85546875" customWidth="1" style="95" min="5" max="5"/>
    <col width="13.5703125" customWidth="1" style="95" min="6" max="6"/>
    <col width="19" customWidth="1" style="95" min="7" max="7"/>
    <col width="18.7109375" customWidth="1" style="95" min="8" max="8"/>
    <col width="18.5703125" customWidth="1" style="95" min="9" max="9"/>
    <col width="22.140625" customWidth="1" style="95" min="10" max="10"/>
  </cols>
  <sheetData>
    <row r="2">
      <c r="E2" s="66" t="inlineStr">
        <is>
          <t>ООО "ЯмалСпецЦентр"</t>
        </is>
      </c>
    </row>
    <row r="3">
      <c r="E3" s="67" t="inlineStr">
        <is>
          <t>(Наименование организации)</t>
        </is>
      </c>
    </row>
    <row r="4" ht="15.75" customHeight="1" s="95">
      <c r="E4" s="68" t="inlineStr">
        <is>
          <t>СПРАВКА №04</t>
        </is>
      </c>
    </row>
    <row r="5">
      <c r="C5" s="92" t="n">
        <v>4500</v>
      </c>
    </row>
    <row r="6">
      <c r="C6" s="92" t="inlineStr">
        <is>
          <t>на объектах ЦППН-1 Акционерного Общества "Газпромнефть-Ноябрьскнефтегаз"(Ноябрьский регион)</t>
        </is>
      </c>
    </row>
    <row r="10">
      <c r="A10" s="90" t="inlineStr">
        <is>
          <t>№ п/п</t>
        </is>
      </c>
      <c r="B10" s="90" t="inlineStr">
        <is>
          <t>ЦЕХ</t>
        </is>
      </c>
      <c r="C10" s="90" t="inlineStr">
        <is>
          <t xml:space="preserve">Работы по  сервисному обслуживанию </t>
        </is>
      </c>
      <c r="H10" s="89" t="inlineStr">
        <is>
          <t>Дата выполнения работ</t>
        </is>
      </c>
      <c r="I10" s="89" t="inlineStr">
        <is>
          <t>Подпись, ФИО механика (мастера)</t>
        </is>
      </c>
      <c r="J10" s="91" t="inlineStr">
        <is>
          <t>№ ЗАКАЗА САП ТОРО</t>
        </is>
      </c>
    </row>
    <row r="11"/>
    <row r="12">
      <c r="C12" s="90" t="inlineStr">
        <is>
          <t>Объект</t>
        </is>
      </c>
      <c r="D12" s="90" t="inlineStr">
        <is>
          <t>Оборудование</t>
        </is>
      </c>
      <c r="E12" s="90" t="inlineStr">
        <is>
          <t>Марка оборудования</t>
        </is>
      </c>
      <c r="F12" s="90" t="inlineStr">
        <is>
          <t>Рег. №</t>
        </is>
      </c>
      <c r="G12" s="90" t="inlineStr">
        <is>
          <t>Зав №</t>
        </is>
      </c>
    </row>
    <row r="13"/>
    <row r="14" ht="42.75" customHeight="1" s="95">
      <c r="A14" s="90" t="n">
        <v>1</v>
      </c>
      <c r="B14" s="93" t="inlineStr">
        <is>
          <t>ЦППД-1</t>
        </is>
      </c>
      <c r="C14" s="71" t="inlineStr">
        <is>
          <t>КНС-1А Спорышевское м/р</t>
        </is>
      </c>
      <c r="D14" s="90" t="inlineStr">
        <is>
          <t>насос</t>
        </is>
      </c>
      <c r="E14" s="71" t="inlineStr">
        <is>
          <t xml:space="preserve">ЦНС 240-1650-2ТМ </t>
        </is>
      </c>
      <c r="F14" s="90" t="inlineStr">
        <is>
          <t>НА-5</t>
        </is>
      </c>
      <c r="G14" s="90" t="inlineStr">
        <is>
          <t>20093/002-2</t>
        </is>
      </c>
      <c r="H14" s="71" t="n"/>
      <c r="I14" s="71" t="n"/>
      <c r="J14" s="92" t="n">
        <v>61000387815</v>
      </c>
    </row>
    <row r="15">
      <c r="A15" s="90" t="n">
        <v>1</v>
      </c>
      <c r="B15" s="90" t="inlineStr">
        <is>
          <t>ЦППД-1</t>
        </is>
      </c>
      <c r="C15" s="94" t="inlineStr">
        <is>
          <t>КНС-1А Спорышевское м/р</t>
        </is>
      </c>
      <c r="D15" s="90" t="inlineStr">
        <is>
          <t>насос</t>
        </is>
      </c>
      <c r="E15" s="72" t="inlineStr">
        <is>
          <t>НЦС 240-1650-15061-УХЛ4</t>
        </is>
      </c>
      <c r="F15" s="62" t="inlineStr">
        <is>
          <t>НА-8</t>
        </is>
      </c>
      <c r="G15" s="73" t="n">
        <v>2422</v>
      </c>
      <c r="H15" s="71" t="n"/>
      <c r="I15" s="71" t="n"/>
      <c r="J15" s="74" t="n">
        <v>61000491174</v>
      </c>
    </row>
    <row r="16">
      <c r="A16" s="90" t="n">
        <v>1</v>
      </c>
      <c r="B16" s="90" t="inlineStr">
        <is>
          <t>ЦППД-1</t>
        </is>
      </c>
      <c r="C16" s="94" t="inlineStr">
        <is>
          <t>КНС-1А Спорышевское м/р</t>
        </is>
      </c>
      <c r="D16" s="90" t="inlineStr">
        <is>
          <t>насос</t>
        </is>
      </c>
      <c r="E16" s="72" t="inlineStr">
        <is>
          <t>ЦНС 240-1660-2ТМ</t>
        </is>
      </c>
      <c r="F16" s="62" t="inlineStr">
        <is>
          <t>НА-14</t>
        </is>
      </c>
      <c r="G16" s="73" t="inlineStr">
        <is>
          <t>002-3</t>
        </is>
      </c>
      <c r="H16" s="71" t="n"/>
      <c r="I16" s="71" t="n"/>
      <c r="J16" s="74" t="n">
        <v>61000310495</v>
      </c>
    </row>
    <row r="17">
      <c r="A17" s="90" t="n">
        <v>1</v>
      </c>
      <c r="B17" s="90" t="inlineStr">
        <is>
          <t>ЦППД-1</t>
        </is>
      </c>
      <c r="C17" s="94" t="inlineStr">
        <is>
          <t>КНС-1В Спорышевское м/р</t>
        </is>
      </c>
      <c r="D17" s="90" t="inlineStr">
        <is>
          <t>насос</t>
        </is>
      </c>
      <c r="E17" s="72" t="inlineStr">
        <is>
          <t>ЦНС 240-1050-2ТМ</t>
        </is>
      </c>
      <c r="F17" s="62" t="inlineStr">
        <is>
          <t>НА-11</t>
        </is>
      </c>
      <c r="G17" s="73" t="inlineStr">
        <is>
          <t>20086/002-1</t>
        </is>
      </c>
      <c r="H17" s="71" t="n"/>
      <c r="I17" s="71" t="n"/>
      <c r="J17" s="74" t="n">
        <v>61000313869</v>
      </c>
    </row>
    <row r="18" ht="25.5" customHeight="1" s="95">
      <c r="A18" s="90" t="n">
        <v>1</v>
      </c>
      <c r="B18" s="90" t="inlineStr">
        <is>
          <t>ЦППД-1</t>
        </is>
      </c>
      <c r="C18" s="94" t="inlineStr">
        <is>
          <t>КНС-3 Спорышевское м/р</t>
        </is>
      </c>
      <c r="D18" s="90" t="inlineStr">
        <is>
          <t>насос</t>
        </is>
      </c>
      <c r="E18" s="72" t="inlineStr">
        <is>
          <t>ЦНСс 310-1510-ПП-К-Т1-УХЛ4</t>
        </is>
      </c>
      <c r="F18" s="62" t="inlineStr">
        <is>
          <t>НА-3</t>
        </is>
      </c>
      <c r="G18" s="73" t="n">
        <v>25074002096</v>
      </c>
      <c r="H18" s="71" t="n"/>
      <c r="I18" s="71" t="n"/>
      <c r="J18" s="74" t="n">
        <v>61000533266</v>
      </c>
    </row>
    <row r="19">
      <c r="A19" s="92" t="n"/>
      <c r="B19" s="92" t="n"/>
      <c r="C19" s="94" t="n"/>
      <c r="E19" s="58" t="n"/>
      <c r="F19" s="62" t="n"/>
      <c r="G19" s="59" t="n"/>
      <c r="J19" s="61" t="n"/>
    </row>
    <row r="20">
      <c r="A20" s="92" t="inlineStr">
        <is>
          <t>№ п/п</t>
        </is>
      </c>
      <c r="B20" s="92" t="inlineStr">
        <is>
          <t>ЦЕХ</t>
        </is>
      </c>
      <c r="C20" s="94" t="inlineStr">
        <is>
          <t>Работы по текущему ремонту!!!</t>
        </is>
      </c>
      <c r="H20" t="inlineStr">
        <is>
          <t>Дата выполнения работ</t>
        </is>
      </c>
      <c r="I20" t="inlineStr">
        <is>
          <t>Подпись, ФИО механика (мастера)</t>
        </is>
      </c>
      <c r="J20" s="61" t="inlineStr">
        <is>
          <t>№ ЗАКАЗА САП ТОРО</t>
        </is>
      </c>
    </row>
    <row r="21"/>
    <row r="22">
      <c r="C22" t="inlineStr">
        <is>
          <t>Объект</t>
        </is>
      </c>
      <c r="D22" t="inlineStr">
        <is>
          <t>Оборудование</t>
        </is>
      </c>
      <c r="E22" t="inlineStr">
        <is>
          <t>Марка оборудования</t>
        </is>
      </c>
      <c r="F22" t="inlineStr">
        <is>
          <t>Рег. №</t>
        </is>
      </c>
      <c r="G22" t="inlineStr">
        <is>
          <t>Зав №</t>
        </is>
      </c>
    </row>
    <row r="23"/>
    <row r="24">
      <c r="D24" s="92" t="n"/>
      <c r="F24" s="62" t="n"/>
      <c r="G24" s="59" t="n"/>
      <c r="J24" s="94" t="n"/>
    </row>
    <row r="25">
      <c r="A25" s="92" t="n"/>
      <c r="B25" s="92" t="n"/>
      <c r="C25" s="94" t="n"/>
      <c r="D25" s="92" t="n"/>
      <c r="E25" s="58" t="n"/>
      <c r="F25" s="62" t="n"/>
      <c r="G25" s="59" t="n"/>
      <c r="J25" s="94" t="n"/>
    </row>
    <row r="30">
      <c r="A30" s="90" t="inlineStr">
        <is>
          <t>№ п/п</t>
        </is>
      </c>
      <c r="B30" s="90" t="inlineStr">
        <is>
          <t>ЦЕХ</t>
        </is>
      </c>
      <c r="C30" s="92" t="inlineStr">
        <is>
          <t>Работы по текущему ремонту</t>
        </is>
      </c>
      <c r="H30" s="89" t="inlineStr">
        <is>
          <t>Дата выполнения работ</t>
        </is>
      </c>
      <c r="I30" s="89" t="inlineStr">
        <is>
          <t>Подпись, ФИО механика (мастера)</t>
        </is>
      </c>
      <c r="J30" t="inlineStr">
        <is>
          <t>№ ЗАКАЗА САП ТОРО</t>
        </is>
      </c>
    </row>
    <row r="31"/>
    <row r="32">
      <c r="C32" s="90" t="inlineStr">
        <is>
          <t>Объект</t>
        </is>
      </c>
      <c r="D32" s="90" t="inlineStr">
        <is>
          <t>Оборудование</t>
        </is>
      </c>
      <c r="E32" s="90" t="inlineStr">
        <is>
          <t>Марка оборудования</t>
        </is>
      </c>
      <c r="F32" s="90" t="inlineStr">
        <is>
          <t>Рег. №</t>
        </is>
      </c>
      <c r="G32" s="90" t="inlineStr">
        <is>
          <t>Зав №</t>
        </is>
      </c>
    </row>
    <row r="33"/>
    <row r="34" ht="16.5" customHeight="1" s="95">
      <c r="A34" s="90" t="n">
        <v>1</v>
      </c>
      <c r="B34" s="90" t="inlineStr">
        <is>
          <t>ЦППД-1</t>
        </is>
      </c>
      <c r="C34" s="75" t="inlineStr">
        <is>
          <t>КНС-3 Холмогорское м/р_ХМАО</t>
        </is>
      </c>
      <c r="D34" s="73" t="inlineStr">
        <is>
          <t>насос</t>
        </is>
      </c>
      <c r="E34" s="73" t="inlineStr">
        <is>
          <t>ЦНС 180-1422-2ИТ</t>
        </is>
      </c>
      <c r="F34" s="62" t="inlineStr">
        <is>
          <t>НА-8</t>
        </is>
      </c>
      <c r="G34" s="73" t="n">
        <v>17</v>
      </c>
      <c r="H34" s="90" t="n"/>
      <c r="I34" s="90" t="n"/>
      <c r="J34" s="75" t="n">
        <v>61000329246</v>
      </c>
    </row>
    <row r="35">
      <c r="A35" s="90" t="n">
        <v>1</v>
      </c>
      <c r="B35" s="90" t="inlineStr">
        <is>
          <t>ЦППД-1</t>
        </is>
      </c>
      <c r="C35" s="75" t="inlineStr">
        <is>
          <t>КНС-1А Спорышевское м/р</t>
        </is>
      </c>
      <c r="D35" s="73" t="inlineStr">
        <is>
          <t>насос</t>
        </is>
      </c>
      <c r="E35" s="73" t="inlineStr">
        <is>
          <t>ЦНС 240-1660-2ТМ</t>
        </is>
      </c>
      <c r="F35" s="62" t="inlineStr">
        <is>
          <t>НА-6</t>
        </is>
      </c>
      <c r="G35" s="73" t="n">
        <v>7</v>
      </c>
      <c r="H35" s="90" t="n"/>
      <c r="I35" s="90" t="n"/>
      <c r="J35" s="75" t="n">
        <v>61000313869</v>
      </c>
    </row>
    <row r="36">
      <c r="A36" s="90" t="n">
        <v>1</v>
      </c>
      <c r="B36" s="90" t="inlineStr">
        <is>
          <t>ЦППД-1</t>
        </is>
      </c>
      <c r="C36" s="75" t="inlineStr">
        <is>
          <t>КНС-1А Спорышевское м/р</t>
        </is>
      </c>
      <c r="D36" s="90" t="inlineStr">
        <is>
          <t>насос</t>
        </is>
      </c>
      <c r="E36" s="73" t="inlineStr">
        <is>
          <t>ЦНС 240-1650-2ИТ</t>
        </is>
      </c>
      <c r="F36" s="62" t="inlineStr">
        <is>
          <t>НА-7</t>
        </is>
      </c>
      <c r="G36" s="73" t="n">
        <v>26</v>
      </c>
      <c r="H36" s="90" t="n"/>
      <c r="I36" s="90" t="n"/>
      <c r="J36" s="75" t="n">
        <v>61000235346</v>
      </c>
    </row>
    <row r="37">
      <c r="A37" s="90" t="n">
        <v>1</v>
      </c>
      <c r="B37" s="90" t="inlineStr">
        <is>
          <t>ЦППД-1</t>
        </is>
      </c>
      <c r="C37" s="75" t="inlineStr">
        <is>
          <t>КНС-1Б Спорышевское м/р</t>
        </is>
      </c>
      <c r="D37" s="90" t="inlineStr">
        <is>
          <t>насос</t>
        </is>
      </c>
      <c r="E37" s="73" t="inlineStr">
        <is>
          <t>ЦНС 240-1650-2ТМ</t>
        </is>
      </c>
      <c r="F37" s="62" t="inlineStr">
        <is>
          <t>НА-10</t>
        </is>
      </c>
      <c r="G37" s="73" t="n">
        <v>86</v>
      </c>
      <c r="H37" s="90" t="n"/>
      <c r="I37" s="90" t="n"/>
      <c r="J37" s="75" t="n">
        <v>61000235329</v>
      </c>
    </row>
    <row r="38">
      <c r="A38" s="90" t="n">
        <v>1</v>
      </c>
      <c r="B38" s="90" t="inlineStr">
        <is>
          <t>ЦППД-1</t>
        </is>
      </c>
      <c r="C38" s="90" t="inlineStr">
        <is>
          <t>КНС-1В Спорышевское м/р</t>
        </is>
      </c>
      <c r="D38" s="90" t="inlineStr">
        <is>
          <t>насос</t>
        </is>
      </c>
      <c r="E38" s="90" t="inlineStr">
        <is>
          <t>ЦНС 240-1050-2ИТ</t>
        </is>
      </c>
      <c r="F38" s="90" t="inlineStr">
        <is>
          <t>НА-13</t>
        </is>
      </c>
      <c r="G38" s="90" t="inlineStr">
        <is>
          <t>6</t>
        </is>
      </c>
      <c r="H38" s="90" t="n"/>
      <c r="I38" s="90" t="n"/>
      <c r="J38" s="90" t="n">
        <v>61000153881</v>
      </c>
    </row>
    <row r="39">
      <c r="A39" s="90" t="n">
        <v>1</v>
      </c>
      <c r="B39" s="90" t="inlineStr">
        <is>
          <t>ЦППД-1</t>
        </is>
      </c>
      <c r="C39" s="90" t="inlineStr">
        <is>
          <t>КНС-3 Спорышевское м/р</t>
        </is>
      </c>
      <c r="D39" s="90" t="inlineStr">
        <is>
          <t>насос</t>
        </is>
      </c>
      <c r="E39" s="90" t="inlineStr">
        <is>
          <t>НЦС К 310-1510-УХЛ4</t>
        </is>
      </c>
      <c r="F39" s="90" t="inlineStr">
        <is>
          <t>НА-2</t>
        </is>
      </c>
      <c r="G39" s="90" t="n">
        <v>2070</v>
      </c>
      <c r="H39" s="90" t="n"/>
      <c r="I39" s="90" t="n"/>
      <c r="J39" s="90" t="n">
        <v>61000113163</v>
      </c>
    </row>
    <row r="40">
      <c r="A40" s="90" t="n">
        <v>1</v>
      </c>
      <c r="B40" s="90" t="inlineStr">
        <is>
          <t>ЦППД-1</t>
        </is>
      </c>
      <c r="C40" s="90" t="inlineStr">
        <is>
          <t>КНС-3 Спорышевское м/р</t>
        </is>
      </c>
      <c r="D40" s="90" t="inlineStr">
        <is>
          <t>насос</t>
        </is>
      </c>
      <c r="E40" s="90" t="inlineStr">
        <is>
          <t>ЦНС 310-1510-2И1Т</t>
        </is>
      </c>
      <c r="F40" s="90" t="inlineStr">
        <is>
          <t>НА-4</t>
        </is>
      </c>
      <c r="G40" s="90" t="inlineStr">
        <is>
          <t>240-28</t>
        </is>
      </c>
      <c r="H40" s="90" t="n"/>
      <c r="I40" s="90" t="n"/>
      <c r="J40" s="90" t="n">
        <v>61000313869</v>
      </c>
    </row>
    <row r="41">
      <c r="A41" s="90" t="n"/>
      <c r="B41" s="90" t="n"/>
      <c r="C41" s="90" t="n"/>
      <c r="D41" s="90" t="n"/>
      <c r="E41" s="90" t="n"/>
      <c r="F41" s="90" t="n"/>
      <c r="G41" s="90" t="n"/>
      <c r="H41" s="90" t="n"/>
      <c r="I41" s="90" t="n"/>
      <c r="J41" s="90" t="n"/>
    </row>
    <row r="45">
      <c r="A45" s="90" t="inlineStr">
        <is>
          <t>№ п/п</t>
        </is>
      </c>
      <c r="B45" s="90" t="inlineStr">
        <is>
          <t>ЦЕХ</t>
        </is>
      </c>
      <c r="C45" s="90" t="inlineStr">
        <is>
          <t>Работы по замене агрегатов</t>
        </is>
      </c>
      <c r="H45" s="89" t="inlineStr">
        <is>
          <t>Дата выполнения работ</t>
        </is>
      </c>
      <c r="I45" s="89" t="inlineStr">
        <is>
          <t>Подпись, ФИО механика (мастера)</t>
        </is>
      </c>
      <c r="J45" s="91" t="inlineStr">
        <is>
          <t>№ ЗАКАЗА САП ТОРО</t>
        </is>
      </c>
    </row>
    <row r="46"/>
    <row r="47">
      <c r="C47" s="90" t="inlineStr">
        <is>
          <t>Объект</t>
        </is>
      </c>
      <c r="D47" s="90" t="inlineStr">
        <is>
          <t>Рег №</t>
        </is>
      </c>
      <c r="E47" s="90" t="inlineStr">
        <is>
          <t>Демонтаж</t>
        </is>
      </c>
      <c r="F47" s="90" t="inlineStr">
        <is>
          <t>Монтаж/ПНР</t>
        </is>
      </c>
      <c r="G47" s="90" t="inlineStr">
        <is>
          <t>Марка оборудования</t>
        </is>
      </c>
    </row>
    <row r="48"/>
    <row r="49">
      <c r="A49" t="n">
        <v>1</v>
      </c>
      <c r="B49" t="inlineStr">
        <is>
          <t>ЦППД-1</t>
        </is>
      </c>
      <c r="C49" t="inlineStr">
        <is>
          <t>КНС-1Б Спорышевское м/р</t>
        </is>
      </c>
      <c r="D49" t="inlineStr">
        <is>
          <t>НА-9</t>
        </is>
      </c>
      <c r="E49" t="n">
        <v>1</v>
      </c>
      <c r="G49" t="inlineStr">
        <is>
          <t>ЦНС 240-1660-2ТМ</t>
        </is>
      </c>
      <c r="J49" t="n">
        <v>61000383673</v>
      </c>
    </row>
    <row r="50">
      <c r="A50" t="n">
        <v>1</v>
      </c>
      <c r="B50" t="inlineStr">
        <is>
          <t>ЦППД-1</t>
        </is>
      </c>
      <c r="C50" t="inlineStr">
        <is>
          <t>КНС-3 Спорышевское м/р</t>
        </is>
      </c>
      <c r="D50" t="inlineStr">
        <is>
          <t>НА-1</t>
        </is>
      </c>
      <c r="E50" t="n">
        <v>59</v>
      </c>
      <c r="G50" t="inlineStr">
        <is>
          <t>ЦНС 240-1650-2ТМ</t>
        </is>
      </c>
      <c r="J50" t="n">
        <v>61000312020</v>
      </c>
    </row>
    <row r="52">
      <c r="A52" t="n">
        <v>1</v>
      </c>
      <c r="B52" t="inlineStr">
        <is>
          <t>ЦППД-1</t>
        </is>
      </c>
      <c r="C52" t="inlineStr">
        <is>
          <t>КНС-3 Холмогорское м/р_ХМАО</t>
        </is>
      </c>
      <c r="D52" t="inlineStr">
        <is>
          <t>НА-9</t>
        </is>
      </c>
      <c r="F52" t="inlineStr">
        <is>
          <t xml:space="preserve"> </t>
        </is>
      </c>
      <c r="G52" t="inlineStr">
        <is>
          <t xml:space="preserve">ЦНС 180-1422-2ТМ </t>
        </is>
      </c>
      <c r="J52" t="n">
        <v>61000541514</v>
      </c>
    </row>
    <row r="53">
      <c r="A53" t="n">
        <v>1</v>
      </c>
      <c r="B53" t="inlineStr">
        <is>
          <t>ЦППД-1</t>
        </is>
      </c>
      <c r="C53" t="inlineStr">
        <is>
          <t>КНС-1Б Спорышевское м/р</t>
        </is>
      </c>
      <c r="D53" t="inlineStr">
        <is>
          <t>НА-9</t>
        </is>
      </c>
      <c r="F53" t="n">
        <v>885</v>
      </c>
      <c r="G53" t="inlineStr">
        <is>
          <t>НЦНС-К-310-1510-УХЛ4</t>
        </is>
      </c>
      <c r="J53" t="n">
        <v>61000173330</v>
      </c>
    </row>
    <row r="54">
      <c r="A54" t="n">
        <v>1</v>
      </c>
      <c r="B54" t="inlineStr">
        <is>
          <t>ЦППД-1</t>
        </is>
      </c>
      <c r="C54" t="inlineStr">
        <is>
          <t>КНС-3 Спорышевское м/р</t>
        </is>
      </c>
      <c r="D54" t="inlineStr">
        <is>
          <t>НА-1</t>
        </is>
      </c>
      <c r="F54" t="n">
        <v>2</v>
      </c>
      <c r="G54" t="inlineStr">
        <is>
          <t>ЦНС 240-1660-2ТМ</t>
        </is>
      </c>
      <c r="J54" t="n">
        <v>61000294385</v>
      </c>
    </row>
    <row r="57" ht="15.75" customHeight="1" s="95" thickBot="1"/>
    <row r="58">
      <c r="A58" s="54" t="inlineStr">
        <is>
          <t xml:space="preserve">№ </t>
        </is>
      </c>
      <c r="B58" s="54" t="n"/>
      <c r="C58" s="54" t="n"/>
      <c r="D58" s="54" t="inlineStr">
        <is>
          <t>Операция</t>
        </is>
      </c>
      <c r="E58" s="54" t="inlineStr">
        <is>
          <t>Рекомендации по улучшению качества сервисных работ</t>
        </is>
      </c>
      <c r="F58" s="54" t="n"/>
      <c r="G58" s="54" t="n"/>
      <c r="H58" s="54" t="n"/>
      <c r="I58" s="54" t="n"/>
      <c r="J58" s="54" t="n"/>
    </row>
    <row r="59">
      <c r="A59" s="54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</row>
    <row r="61" ht="15.75" customHeight="1" s="95" thickBot="1">
      <c r="A61" s="54" t="n"/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</row>
    <row r="62" ht="15.75" customHeight="1" s="95" thickBot="1">
      <c r="A62" s="54" t="n"/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</row>
    <row r="63" ht="25.5" customHeight="1" s="95">
      <c r="A63" s="87" t="inlineStr">
        <is>
          <t xml:space="preserve">№ п/п </t>
        </is>
      </c>
      <c r="B63" s="87" t="inlineStr">
        <is>
          <t>Цех</t>
        </is>
      </c>
      <c r="C63" s="87" t="inlineStr">
        <is>
          <t>Прочие работы</t>
        </is>
      </c>
      <c r="I63" s="93" t="inlineStr">
        <is>
          <t>Дата выполнения работ</t>
        </is>
      </c>
      <c r="J63" s="55" t="inlineStr">
        <is>
          <t>Подпись, ФИО механика (мастера)</t>
        </is>
      </c>
    </row>
    <row r="64">
      <c r="C64" s="87" t="inlineStr">
        <is>
          <t>Объект</t>
        </is>
      </c>
      <c r="E64" s="54" t="inlineStr">
        <is>
          <t>Рег №</t>
        </is>
      </c>
      <c r="F64" s="54" t="n"/>
      <c r="G64" s="54" t="n"/>
      <c r="H64" s="54" t="n"/>
      <c r="J64" s="54" t="n"/>
    </row>
    <row r="65" ht="15.75" customHeight="1" s="95" thickBot="1">
      <c r="A65" s="54" t="n"/>
      <c r="B65" s="54" t="n"/>
      <c r="C65" s="56" t="n"/>
      <c r="D65" s="56" t="n"/>
      <c r="E65" s="63" t="n"/>
      <c r="F65" s="57" t="n"/>
      <c r="G65" s="57" t="n"/>
      <c r="H65" s="57" t="n"/>
      <c r="I65" s="87" t="n"/>
      <c r="J65" s="54" t="n"/>
    </row>
    <row r="66">
      <c r="A66" s="54" t="n"/>
      <c r="B66" s="54" t="n"/>
      <c r="C66" s="54" t="n"/>
      <c r="D66" s="54" t="n"/>
      <c r="E66" s="54" t="n"/>
      <c r="F66" s="54" t="n"/>
      <c r="G66" s="54" t="n"/>
      <c r="H66" s="54" t="n"/>
      <c r="I66" s="54" t="n"/>
      <c r="J66" s="54" t="n"/>
    </row>
    <row r="67">
      <c r="A67" s="54" t="n"/>
      <c r="B67" s="54" t="n"/>
      <c r="C67" s="54" t="n"/>
      <c r="D67" s="54" t="n"/>
      <c r="E67" s="54" t="n"/>
      <c r="F67" s="54" t="n"/>
      <c r="G67" s="54" t="n"/>
      <c r="H67" s="54" t="n"/>
      <c r="I67" s="54" t="n"/>
      <c r="J67" s="54" t="n"/>
    </row>
    <row r="68">
      <c r="A68" s="54" t="n"/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</row>
    <row r="69">
      <c r="A69" s="54" t="inlineStr">
        <is>
          <t xml:space="preserve">М.П. </t>
        </is>
      </c>
      <c r="B69" s="54" t="n"/>
      <c r="C69" s="54" t="n"/>
      <c r="D69" s="54" t="n"/>
      <c r="E69" s="54" t="inlineStr">
        <is>
          <t>Заказчик: ____________________________________________________</t>
        </is>
      </c>
      <c r="F69" s="54" t="n"/>
      <c r="G69" s="54" t="n"/>
      <c r="H69" s="54" t="n"/>
      <c r="I69" s="54" t="n"/>
      <c r="J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</row>
  </sheetData>
  <mergeCells count="51">
    <mergeCell ref="C63:H63"/>
    <mergeCell ref="I30:I33"/>
    <mergeCell ref="F12:F13"/>
    <mergeCell ref="H10:H13"/>
    <mergeCell ref="A30:A33"/>
    <mergeCell ref="J10:J13"/>
    <mergeCell ref="A45:A48"/>
    <mergeCell ref="I45:I48"/>
    <mergeCell ref="C64:D64"/>
    <mergeCell ref="C22:C23"/>
    <mergeCell ref="F32:F33"/>
    <mergeCell ref="D32:D33"/>
    <mergeCell ref="C47:C48"/>
    <mergeCell ref="C12:C13"/>
    <mergeCell ref="F22:F23"/>
    <mergeCell ref="D47:D48"/>
    <mergeCell ref="J20:J23"/>
    <mergeCell ref="F47:F48"/>
    <mergeCell ref="D12:D13"/>
    <mergeCell ref="H45:H48"/>
    <mergeCell ref="J30:J33"/>
    <mergeCell ref="J45:J48"/>
    <mergeCell ref="B10:B13"/>
    <mergeCell ref="E32:E33"/>
    <mergeCell ref="A20:A23"/>
    <mergeCell ref="B30:B33"/>
    <mergeCell ref="C32:C33"/>
    <mergeCell ref="I20:I23"/>
    <mergeCell ref="A63:A64"/>
    <mergeCell ref="I63:I64"/>
    <mergeCell ref="G32:G33"/>
    <mergeCell ref="A10:A13"/>
    <mergeCell ref="C30:G31"/>
    <mergeCell ref="B63:B64"/>
    <mergeCell ref="G22:G23"/>
    <mergeCell ref="C6:H6"/>
    <mergeCell ref="I10:I13"/>
    <mergeCell ref="E47:E48"/>
    <mergeCell ref="C20:G21"/>
    <mergeCell ref="G47:G48"/>
    <mergeCell ref="E12:E13"/>
    <mergeCell ref="C5:H5"/>
    <mergeCell ref="C10:G11"/>
    <mergeCell ref="G12:G13"/>
    <mergeCell ref="E22:E23"/>
    <mergeCell ref="C45:G46"/>
    <mergeCell ref="B20:B23"/>
    <mergeCell ref="H20:H23"/>
    <mergeCell ref="B45:B48"/>
    <mergeCell ref="H30:H33"/>
    <mergeCell ref="D22:D23"/>
  </mergeCells>
  <conditionalFormatting sqref="J15:J16">
    <cfRule type="duplicateValues" priority="21" dxfId="0"/>
    <cfRule type="duplicateValues" priority="20" dxfId="0"/>
    <cfRule type="duplicateValues" priority="19" dxfId="0"/>
    <cfRule type="duplicateValues" priority="18" dxfId="0"/>
  </conditionalFormatting>
  <conditionalFormatting sqref="J17:J25">
    <cfRule type="duplicateValues" priority="17" dxfId="0"/>
    <cfRule type="duplicateValues" priority="16" dxfId="0"/>
    <cfRule type="duplicateValues" priority="15" dxfId="0"/>
    <cfRule type="duplicateValues" priority="14" dxfId="0"/>
  </conditionalFormatting>
  <conditionalFormatting sqref="J34:J35">
    <cfRule type="duplicateValues" priority="13" dxfId="0"/>
    <cfRule type="duplicateValues" priority="12" dxfId="0"/>
    <cfRule type="duplicateValues" priority="11" dxfId="0"/>
    <cfRule type="duplicateValues" priority="10" dxfId="0"/>
  </conditionalFormatting>
  <conditionalFormatting sqref="J36">
    <cfRule type="duplicateValues" priority="9" dxfId="0"/>
    <cfRule type="duplicateValues" priority="8" dxfId="0"/>
    <cfRule type="duplicateValues" priority="7" dxfId="0"/>
    <cfRule type="duplicateValues" priority="6" dxfId="0"/>
  </conditionalFormatting>
  <conditionalFormatting sqref="J37"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2026-09-30T00:23:19Z</dcterms:modified>
  <cp:lastModifiedBy>Admin</cp:lastModifiedBy>
</cp:coreProperties>
</file>