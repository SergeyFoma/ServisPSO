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2" autoFilterDateGrouping="1"/>
  </bookViews>
  <sheets>
    <sheet xmlns:r="http://schemas.openxmlformats.org/officeDocument/2006/relationships" name="Лот 2" sheetId="1" state="hidden" r:id="rId1"/>
    <sheet xmlns:r="http://schemas.openxmlformats.org/officeDocument/2006/relationships" name="Расчёт плаННГ-22-10000-02048-Р " sheetId="2" state="visible" r:id="rId2"/>
    <sheet xmlns:r="http://schemas.openxmlformats.org/officeDocument/2006/relationships" name="Акт июнь" sheetId="3" state="visible" r:id="rId3"/>
  </sheets>
  <externalReferences>
    <externalReference xmlns:r="http://schemas.openxmlformats.org/officeDocument/2006/relationships" r:id="rId4"/>
  </externalReferences>
  <definedNames>
    <definedName name="_xlnm.Print_Titles" localSheetId="0">'Лот 2'!$16:$18</definedName>
    <definedName name="_xlnm.Print_Area" localSheetId="0">'Лот 2'!$A$1:$G$229</definedName>
    <definedName name="_xlnm.Print_Titles" localSheetId="1">'Расчёт плаННГ-22-10000-02048-Р '!$13:$15</definedName>
    <definedName name="_xlnm.Print_Area" localSheetId="1">'Расчёт плаННГ-22-10000-02048-Р '!$A$1:$F$401</definedName>
    <definedName name="_xlnm.Print_Titles" localSheetId="2">'Акт июнь'!$13:$15</definedName>
    <definedName name="_xlnm.Print_Area" localSheetId="2">'Акт июнь'!$A$1:$F$401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р_._-;\-* #,##0.00_р_._-;_-* &quot;-&quot;??_р_._-;_-@_-"/>
    <numFmt numFmtId="165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color theme="1" tint="0.0499893185216834"/>
      <sz val="10"/>
    </font>
    <font>
      <name val="Arial"/>
      <charset val="204"/>
      <family val="2"/>
      <sz val="10"/>
    </font>
    <font>
      <name val="Times New Roman"/>
      <charset val="204"/>
      <family val="1"/>
      <b val="1"/>
      <color theme="1" tint="0.0499893185216834"/>
      <sz val="10"/>
    </font>
    <font>
      <name val="Arial Cyr"/>
      <charset val="204"/>
      <family val="2"/>
      <sz val="10"/>
    </font>
    <font>
      <name val="Arial"/>
      <charset val="204"/>
      <family val="2"/>
      <color theme="1"/>
      <sz val="12"/>
    </font>
    <font>
      <name val="Arial"/>
      <charset val="204"/>
      <family val="2"/>
      <color theme="1"/>
      <sz val="11"/>
    </font>
    <font>
      <name val="Arial"/>
      <charset val="204"/>
      <family val="2"/>
      <b val="1"/>
      <sz val="12"/>
    </font>
    <font>
      <name val="Times New Roman"/>
      <charset val="204"/>
      <family val="1"/>
      <sz val="8"/>
    </font>
    <font>
      <name val="Calibri"/>
      <family val="2"/>
      <color theme="1"/>
      <sz val="10"/>
      <scheme val="minor"/>
    </font>
    <font>
      <name val="Helv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b val="1"/>
      <color rgb="FFFF0000"/>
      <sz val="10"/>
    </font>
    <font>
      <name val="Courier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9">
    <xf numFmtId="0" fontId="0" fillId="0" borderId="0"/>
    <xf numFmtId="0" fontId="2" fillId="0" borderId="0"/>
    <xf numFmtId="164" fontId="2" fillId="0" borderId="0"/>
    <xf numFmtId="0" fontId="2" fillId="0" borderId="0"/>
    <xf numFmtId="0" fontId="8" fillId="0" borderId="0"/>
    <xf numFmtId="164" fontId="2" fillId="0" borderId="0"/>
    <xf numFmtId="0" fontId="1" fillId="0" borderId="0"/>
    <xf numFmtId="0" fontId="1" fillId="0" borderId="0"/>
    <xf numFmtId="0" fontId="6" fillId="0" borderId="0" applyAlignment="1">
      <alignment vertical="top"/>
    </xf>
    <xf numFmtId="0" fontId="6" fillId="0" borderId="0"/>
    <xf numFmtId="43" fontId="6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 applyAlignment="1">
      <alignment vertical="top"/>
    </xf>
    <xf numFmtId="0" fontId="6" fillId="0" borderId="0" applyAlignment="1">
      <alignment vertical="top"/>
    </xf>
    <xf numFmtId="0" fontId="6" fillId="0" borderId="0" applyAlignment="1">
      <alignment vertical="top"/>
    </xf>
    <xf numFmtId="0" fontId="6" fillId="0" borderId="0"/>
    <xf numFmtId="0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0" fillId="0" borderId="0"/>
    <xf numFmtId="0" fontId="19" fillId="0" borderId="0"/>
    <xf numFmtId="0" fontId="19" fillId="0" borderId="0"/>
  </cellStyleXfs>
  <cellXfs count="106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0" pivotButton="0" quotePrefix="0" xfId="1"/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top"/>
    </xf>
    <xf numFmtId="0" fontId="2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 vertical="top"/>
    </xf>
    <xf numFmtId="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vertical="center" wrapText="1"/>
    </xf>
    <xf numFmtId="0" fontId="2" fillId="0" borderId="0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right" vertical="center" wrapText="1"/>
    </xf>
    <xf numFmtId="0" fontId="2" fillId="0" borderId="0" applyAlignment="1" pivotButton="0" quotePrefix="0" xfId="1">
      <alignment vertical="top"/>
    </xf>
    <xf numFmtId="164" fontId="2" fillId="0" borderId="0" applyAlignment="1" pivotButton="0" quotePrefix="0" xfId="2">
      <alignment horizontal="left"/>
    </xf>
    <xf numFmtId="0" fontId="2" fillId="0" borderId="0" applyAlignment="1" pivotButton="0" quotePrefix="0" xfId="1">
      <alignment horizontal="left" vertical="center"/>
    </xf>
    <xf numFmtId="164" fontId="2" fillId="0" borderId="0" applyAlignment="1" pivotButton="0" quotePrefix="0" xfId="2">
      <alignment horizontal="left" vertical="center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0" fillId="0" borderId="0" pivotButton="0" quotePrefix="0" xfId="0"/>
    <xf numFmtId="164" fontId="2" fillId="0" borderId="0" applyAlignment="1" pivotButton="0" quotePrefix="0" xfId="2">
      <alignment horizontal="center" vertical="center" wrapText="1"/>
    </xf>
    <xf numFmtId="164" fontId="2" fillId="0" borderId="0" pivotButton="0" quotePrefix="0" xfId="2"/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2" fillId="0" borderId="0" applyAlignment="1" pivotButton="0" quotePrefix="0" xfId="2">
      <alignment horizontal="center" vertical="center"/>
    </xf>
    <xf numFmtId="0" fontId="2" fillId="0" borderId="0" applyAlignment="1" pivotButton="0" quotePrefix="0" xfId="1">
      <alignment horizontal="left" vertical="top" wrapText="1"/>
    </xf>
    <xf numFmtId="164" fontId="2" fillId="0" borderId="0" applyAlignment="1" pivotButton="0" quotePrefix="0" xfId="2">
      <alignment horizontal="center" vertical="top" wrapText="1"/>
    </xf>
    <xf numFmtId="0" fontId="11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/>
    </xf>
    <xf numFmtId="0" fontId="2" fillId="0" borderId="0" applyAlignment="1" pivotButton="0" quotePrefix="0" xfId="1">
      <alignment horizontal="center" wrapText="1"/>
    </xf>
    <xf numFmtId="0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" fillId="0" borderId="0" applyAlignment="1" pivotButton="0" quotePrefix="0" xfId="1">
      <alignment horizontal="center"/>
    </xf>
    <xf numFmtId="0" fontId="2" fillId="0" borderId="0" applyAlignment="1" applyProtection="1" pivotButton="0" quotePrefix="0" xfId="1">
      <alignment horizontal="center" vertical="center" wrapText="1"/>
      <protection locked="0" hidden="0"/>
    </xf>
    <xf numFmtId="0" fontId="2" fillId="0" borderId="0" applyAlignment="1" applyProtection="1" pivotButton="0" quotePrefix="0" xfId="3">
      <alignment horizontal="left" vertical="center" wrapText="1"/>
      <protection locked="0" hidden="0"/>
    </xf>
    <xf numFmtId="0" fontId="13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1">
      <alignment vertical="top" wrapText="1"/>
    </xf>
    <xf numFmtId="0" fontId="6" fillId="0" borderId="0" applyAlignment="1" pivotButton="0" quotePrefix="0" xfId="8">
      <alignment horizontal="left" vertical="top"/>
    </xf>
    <xf numFmtId="0" fontId="6" fillId="0" borderId="0" applyAlignment="1" pivotButton="0" quotePrefix="0" xfId="8">
      <alignment horizontal="left"/>
    </xf>
    <xf numFmtId="0" fontId="1" fillId="0" borderId="0" applyAlignment="1" pivotButton="0" quotePrefix="0" xfId="7">
      <alignment horizontal="left" vertical="center" wrapText="1"/>
    </xf>
    <xf numFmtId="0" fontId="1" fillId="0" borderId="0" applyAlignment="1" pivotButton="0" quotePrefix="0" xfId="7">
      <alignment vertical="center" wrapText="1"/>
    </xf>
    <xf numFmtId="164" fontId="2" fillId="0" borderId="0" applyAlignment="1" pivotButton="0" quotePrefix="0" xfId="2">
      <alignment horizontal="left" vertical="top"/>
    </xf>
    <xf numFmtId="165" fontId="6" fillId="0" borderId="0" applyAlignment="1" pivotButton="0" quotePrefix="0" xfId="22">
      <alignment horizontal="left"/>
    </xf>
    <xf numFmtId="164" fontId="2" fillId="0" borderId="0" applyAlignment="1" pivotButton="0" quotePrefix="0" xfId="2">
      <alignment horizontal="center" vertical="top"/>
    </xf>
    <xf numFmtId="0" fontId="15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8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2" fillId="0" borderId="0" applyAlignment="1" pivotButton="0" quotePrefix="0" xfId="1">
      <alignment horizontal="center" vertical="top" wrapText="1"/>
    </xf>
    <xf numFmtId="0" fontId="2" fillId="0" borderId="0" applyAlignment="1" applyProtection="1" pivotButton="0" quotePrefix="0" xfId="1">
      <alignment horizontal="center" vertical="top" wrapText="1"/>
      <protection locked="0" hidden="0"/>
    </xf>
    <xf numFmtId="0" fontId="2" fillId="0" borderId="0" applyAlignment="1" pivotButton="0" quotePrefix="0" xfId="1">
      <alignment horizontal="left" wrapText="1"/>
    </xf>
    <xf numFmtId="0" fontId="1" fillId="0" borderId="0" applyAlignment="1" pivotButton="0" quotePrefix="0" xfId="7">
      <alignment horizontal="left" vertical="top" wrapText="1"/>
    </xf>
    <xf numFmtId="0" fontId="2" fillId="0" borderId="0" applyAlignment="1" applyProtection="1" pivotButton="0" quotePrefix="0" xfId="3">
      <alignment horizontal="left" vertical="top" wrapText="1"/>
      <protection locked="0" hidden="0"/>
    </xf>
    <xf numFmtId="0" fontId="1" fillId="0" borderId="0" applyAlignment="1" pivotButton="0" quotePrefix="0" xfId="7">
      <alignment vertical="top" wrapText="1"/>
    </xf>
    <xf numFmtId="0" fontId="1" fillId="0" borderId="0" applyAlignment="1" pivotButton="0" quotePrefix="0" xfId="7">
      <alignment horizontal="left" wrapText="1"/>
    </xf>
    <xf numFmtId="0" fontId="6" fillId="0" borderId="0" applyAlignment="1" pivotButton="0" quotePrefix="0" xfId="8">
      <alignment horizontal="left" vertical="top" wrapText="1"/>
    </xf>
    <xf numFmtId="164" fontId="2" fillId="0" borderId="0" pivotButton="0" quotePrefix="0" xfId="5"/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18">
      <alignment horizontal="left" vertical="center" wrapText="1"/>
    </xf>
    <xf numFmtId="0" fontId="6" fillId="0" borderId="0" applyAlignment="1" applyProtection="1" pivotButton="0" quotePrefix="0" xfId="18">
      <alignment horizontal="left" vertical="top"/>
      <protection locked="0" hidden="0"/>
    </xf>
    <xf numFmtId="0" fontId="6" fillId="0" borderId="0" applyAlignment="1" pivotButton="0" quotePrefix="0" xfId="18">
      <alignment horizontal="left" vertical="center"/>
    </xf>
    <xf numFmtId="0" fontId="4" fillId="0" borderId="0" applyAlignment="1" pivotButton="0" quotePrefix="0" xfId="0">
      <alignment horizontal="left" vertical="top"/>
    </xf>
    <xf numFmtId="0" fontId="6" fillId="0" borderId="0" applyAlignment="1" pivotButton="0" quotePrefix="0" xfId="8">
      <alignment horizontal="left" vertical="center"/>
    </xf>
    <xf numFmtId="164" fontId="2" fillId="0" borderId="0" applyAlignment="1" pivotButton="0" quotePrefix="0" xfId="5">
      <alignment horizontal="left" vertical="center"/>
    </xf>
    <xf numFmtId="164" fontId="2" fillId="0" borderId="0" applyAlignment="1" pivotButton="0" quotePrefix="0" xfId="5">
      <alignment vertical="center"/>
    </xf>
    <xf numFmtId="0" fontId="16" fillId="0" borderId="0" pivotButton="0" quotePrefix="0" xfId="0"/>
    <xf numFmtId="0" fontId="1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 vertical="center" wrapText="1"/>
    </xf>
    <xf numFmtId="0" fontId="2" fillId="0" borderId="0" pivotButton="0" quotePrefix="0" xfId="1"/>
    <xf numFmtId="0" fontId="12" fillId="0" borderId="0" applyAlignment="1" pivotButton="0" quotePrefix="0" xfId="0">
      <alignment horizontal="left" vertical="center"/>
    </xf>
    <xf numFmtId="0" fontId="2" fillId="0" borderId="0" applyAlignment="1" pivotButton="0" quotePrefix="0" xfId="1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 wrapText="1"/>
    </xf>
    <xf numFmtId="0" fontId="2" fillId="0" borderId="0" applyAlignment="1" pivotButton="0" quotePrefix="0" xfId="1">
      <alignment horizontal="center" vertical="top"/>
    </xf>
    <xf numFmtId="164" fontId="2" fillId="0" borderId="0" applyAlignment="1" pivotButton="0" quotePrefix="0" xfId="5">
      <alignment horizontal="center" vertical="center"/>
    </xf>
    <xf numFmtId="164" fontId="2" fillId="0" borderId="0" applyAlignment="1" pivotButton="0" quotePrefix="0" xfId="5">
      <alignment horizontal="left" vertical="center"/>
    </xf>
    <xf numFmtId="0" fontId="17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1">
      <alignment horizontal="left" vertical="center"/>
    </xf>
    <xf numFmtId="0" fontId="2" fillId="0" borderId="0" applyAlignment="1" applyProtection="1" pivotButton="0" quotePrefix="0" xfId="3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16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 vertical="top"/>
    </xf>
    <xf numFmtId="0" fontId="2" fillId="0" borderId="0" applyAlignment="1" pivotButton="0" quotePrefix="0" xfId="1">
      <alignment horizontal="center"/>
    </xf>
    <xf numFmtId="165" fontId="6" fillId="0" borderId="0" applyAlignment="1" pivotButton="0" quotePrefix="0" xfId="22">
      <alignment horizontal="left"/>
    </xf>
  </cellXfs>
  <cellStyles count="29">
    <cellStyle name="Обычный" xfId="0" builtinId="0"/>
    <cellStyle name="Обычный 2" xfId="1"/>
    <cellStyle name="Финансовый 2" xfId="2"/>
    <cellStyle name="Денежный [0]_СН-ННГ" xfId="3"/>
    <cellStyle name="Стиль 1" xfId="4"/>
    <cellStyle name="Финансовый 2 2" xfId="5"/>
    <cellStyle name="Обычный 3" xfId="6"/>
    <cellStyle name="Обычный 4" xfId="7"/>
    <cellStyle name="Обычный 5 2" xfId="8"/>
    <cellStyle name="Обычный 2 2" xfId="9"/>
    <cellStyle name="Финансовый 2 3" xfId="10"/>
    <cellStyle name="Стиль 1 2" xfId="11"/>
    <cellStyle name="Обычный 3 2" xfId="12"/>
    <cellStyle name="Обычный 3 3" xfId="13"/>
    <cellStyle name="Обычный 3 4" xfId="14"/>
    <cellStyle name="Обычный 4 2" xfId="15"/>
    <cellStyle name="Обычный 4 3" xfId="16"/>
    <cellStyle name="Обычный 5" xfId="17"/>
    <cellStyle name="Обычный 5 3" xfId="18"/>
    <cellStyle name="Обычный 6" xfId="19"/>
    <cellStyle name="Обычный 7" xfId="20"/>
    <cellStyle name="Обычный 7 2" xfId="21"/>
    <cellStyle name="Финансовый 3" xfId="22"/>
    <cellStyle name="Финансовый 3 2" xfId="23"/>
    <cellStyle name="Финансовый 4" xfId="24"/>
    <cellStyle name="Финансовый 4 2" xfId="25"/>
    <cellStyle name="Обычный 10" xfId="26"/>
    <cellStyle name="Обычный 2 4" xfId="27"/>
    <cellStyle name="Обычный 2 6" xfId="2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1082;&#1072;&#1087;.%20&#1088;&#1077;&#1084;%202019%20&#1085;&#1085;&#1075;/&#1086;&#1082;&#1090;&#1103;&#1073;&#1088;&#1100;/&#1057;&#1087;&#1088;&#1072;&#1074;&#1082;&#1072;%20&#1051;&#1054;&#1058;%202%20&#1072;&#1074;&#1075;&#1091;&#1089;&#1090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от2"/>
      <sheetName val="Лот2 (2)"/>
      <sheetName val="Лист1"/>
      <sheetName val="Лист2"/>
      <sheetName val="Лист3"/>
    </sheetNames>
    <sheetDataSet>
      <sheetData sheetId="0">
        <row r="4">
          <cell r="AN4">
            <v>942461.02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1"/>
  <sheetViews>
    <sheetView showZeros="0" view="pageBreakPreview" zoomScaleNormal="110" zoomScaleSheetLayoutView="100" workbookViewId="0">
      <selection activeCell="B20" sqref="B20"/>
    </sheetView>
  </sheetViews>
  <sheetFormatPr baseColWidth="8" defaultRowHeight="12.75" outlineLevelCol="0"/>
  <cols>
    <col width="3.7109375" customWidth="1" style="88" min="1" max="1"/>
    <col width="5.85546875" customWidth="1" style="88" min="2" max="2"/>
    <col width="41.85546875" customWidth="1" style="88" min="3" max="3"/>
    <col width="14.28515625" customWidth="1" style="88" min="4" max="4"/>
    <col width="21.5703125" customWidth="1" style="88" min="5" max="5"/>
    <col width="24.28515625" customWidth="1" style="88" min="6" max="6"/>
    <col width="4.28515625" customWidth="1" style="88" min="7" max="7"/>
    <col width="14.7109375" customWidth="1" style="88" min="8" max="8"/>
    <col width="23" customWidth="1" style="88" min="9" max="9"/>
    <col width="12.85546875" customWidth="1" style="88" min="10" max="10"/>
    <col width="16.140625" customWidth="1" style="88" min="11" max="11"/>
    <col width="14.140625" customWidth="1" style="88" min="12" max="12"/>
    <col width="11" bestFit="1" customWidth="1" style="88" min="13" max="14"/>
    <col width="9.140625" customWidth="1" style="88" min="15" max="256"/>
    <col width="2" customWidth="1" style="88" min="257" max="257"/>
    <col width="5.85546875" customWidth="1" style="88" min="258" max="258"/>
    <col width="38.5703125" customWidth="1" style="88" min="259" max="259"/>
    <col width="10" customWidth="1" style="88" min="260" max="260"/>
    <col width="21.5703125" customWidth="1" style="88" min="261" max="261"/>
    <col width="22.7109375" customWidth="1" style="88" min="262" max="262"/>
    <col width="0.28515625" customWidth="1" style="88" min="263" max="263"/>
    <col hidden="1" width="13" customWidth="1" style="88" min="264" max="264"/>
    <col width="9.140625" customWidth="1" style="88" min="265" max="267"/>
    <col width="14.140625" customWidth="1" style="88" min="268" max="268"/>
    <col width="9.140625" customWidth="1" style="88" min="269" max="512"/>
    <col width="2" customWidth="1" style="88" min="513" max="513"/>
    <col width="5.85546875" customWidth="1" style="88" min="514" max="514"/>
    <col width="38.5703125" customWidth="1" style="88" min="515" max="515"/>
    <col width="10" customWidth="1" style="88" min="516" max="516"/>
    <col width="21.5703125" customWidth="1" style="88" min="517" max="517"/>
    <col width="22.7109375" customWidth="1" style="88" min="518" max="518"/>
    <col width="0.28515625" customWidth="1" style="88" min="519" max="519"/>
    <col hidden="1" width="13" customWidth="1" style="88" min="520" max="520"/>
    <col width="9.140625" customWidth="1" style="88" min="521" max="523"/>
    <col width="14.140625" customWidth="1" style="88" min="524" max="524"/>
    <col width="9.140625" customWidth="1" style="88" min="525" max="768"/>
    <col width="2" customWidth="1" style="88" min="769" max="769"/>
    <col width="5.85546875" customWidth="1" style="88" min="770" max="770"/>
    <col width="38.5703125" customWidth="1" style="88" min="771" max="771"/>
    <col width="10" customWidth="1" style="88" min="772" max="772"/>
    <col width="21.5703125" customWidth="1" style="88" min="773" max="773"/>
    <col width="22.7109375" customWidth="1" style="88" min="774" max="774"/>
    <col width="0.28515625" customWidth="1" style="88" min="775" max="775"/>
    <col hidden="1" width="13" customWidth="1" style="88" min="776" max="776"/>
    <col width="9.140625" customWidth="1" style="88" min="777" max="779"/>
    <col width="14.140625" customWidth="1" style="88" min="780" max="780"/>
    <col width="9.140625" customWidth="1" style="88" min="781" max="1024"/>
    <col width="2" customWidth="1" style="88" min="1025" max="1025"/>
    <col width="5.85546875" customWidth="1" style="88" min="1026" max="1026"/>
    <col width="38.5703125" customWidth="1" style="88" min="1027" max="1027"/>
    <col width="10" customWidth="1" style="88" min="1028" max="1028"/>
    <col width="21.5703125" customWidth="1" style="88" min="1029" max="1029"/>
    <col width="22.7109375" customWidth="1" style="88" min="1030" max="1030"/>
    <col width="0.28515625" customWidth="1" style="88" min="1031" max="1031"/>
    <col hidden="1" width="13" customWidth="1" style="88" min="1032" max="1032"/>
    <col width="9.140625" customWidth="1" style="88" min="1033" max="1035"/>
    <col width="14.140625" customWidth="1" style="88" min="1036" max="1036"/>
    <col width="9.140625" customWidth="1" style="88" min="1037" max="1280"/>
    <col width="2" customWidth="1" style="88" min="1281" max="1281"/>
    <col width="5.85546875" customWidth="1" style="88" min="1282" max="1282"/>
    <col width="38.5703125" customWidth="1" style="88" min="1283" max="1283"/>
    <col width="10" customWidth="1" style="88" min="1284" max="1284"/>
    <col width="21.5703125" customWidth="1" style="88" min="1285" max="1285"/>
    <col width="22.7109375" customWidth="1" style="88" min="1286" max="1286"/>
    <col width="0.28515625" customWidth="1" style="88" min="1287" max="1287"/>
    <col hidden="1" width="13" customWidth="1" style="88" min="1288" max="1288"/>
    <col width="9.140625" customWidth="1" style="88" min="1289" max="1291"/>
    <col width="14.140625" customWidth="1" style="88" min="1292" max="1292"/>
    <col width="9.140625" customWidth="1" style="88" min="1293" max="1536"/>
    <col width="2" customWidth="1" style="88" min="1537" max="1537"/>
    <col width="5.85546875" customWidth="1" style="88" min="1538" max="1538"/>
    <col width="38.5703125" customWidth="1" style="88" min="1539" max="1539"/>
    <col width="10" customWidth="1" style="88" min="1540" max="1540"/>
    <col width="21.5703125" customWidth="1" style="88" min="1541" max="1541"/>
    <col width="22.7109375" customWidth="1" style="88" min="1542" max="1542"/>
    <col width="0.28515625" customWidth="1" style="88" min="1543" max="1543"/>
    <col hidden="1" width="13" customWidth="1" style="88" min="1544" max="1544"/>
    <col width="9.140625" customWidth="1" style="88" min="1545" max="1547"/>
    <col width="14.140625" customWidth="1" style="88" min="1548" max="1548"/>
    <col width="9.140625" customWidth="1" style="88" min="1549" max="1792"/>
    <col width="2" customWidth="1" style="88" min="1793" max="1793"/>
    <col width="5.85546875" customWidth="1" style="88" min="1794" max="1794"/>
    <col width="38.5703125" customWidth="1" style="88" min="1795" max="1795"/>
    <col width="10" customWidth="1" style="88" min="1796" max="1796"/>
    <col width="21.5703125" customWidth="1" style="88" min="1797" max="1797"/>
    <col width="22.7109375" customWidth="1" style="88" min="1798" max="1798"/>
    <col width="0.28515625" customWidth="1" style="88" min="1799" max="1799"/>
    <col hidden="1" width="13" customWidth="1" style="88" min="1800" max="1800"/>
    <col width="9.140625" customWidth="1" style="88" min="1801" max="1803"/>
    <col width="14.140625" customWidth="1" style="88" min="1804" max="1804"/>
    <col width="9.140625" customWidth="1" style="88" min="1805" max="2048"/>
    <col width="2" customWidth="1" style="88" min="2049" max="2049"/>
    <col width="5.85546875" customWidth="1" style="88" min="2050" max="2050"/>
    <col width="38.5703125" customWidth="1" style="88" min="2051" max="2051"/>
    <col width="10" customWidth="1" style="88" min="2052" max="2052"/>
    <col width="21.5703125" customWidth="1" style="88" min="2053" max="2053"/>
    <col width="22.7109375" customWidth="1" style="88" min="2054" max="2054"/>
    <col width="0.28515625" customWidth="1" style="88" min="2055" max="2055"/>
    <col hidden="1" width="13" customWidth="1" style="88" min="2056" max="2056"/>
    <col width="9.140625" customWidth="1" style="88" min="2057" max="2059"/>
    <col width="14.140625" customWidth="1" style="88" min="2060" max="2060"/>
    <col width="9.140625" customWidth="1" style="88" min="2061" max="2304"/>
    <col width="2" customWidth="1" style="88" min="2305" max="2305"/>
    <col width="5.85546875" customWidth="1" style="88" min="2306" max="2306"/>
    <col width="38.5703125" customWidth="1" style="88" min="2307" max="2307"/>
    <col width="10" customWidth="1" style="88" min="2308" max="2308"/>
    <col width="21.5703125" customWidth="1" style="88" min="2309" max="2309"/>
    <col width="22.7109375" customWidth="1" style="88" min="2310" max="2310"/>
    <col width="0.28515625" customWidth="1" style="88" min="2311" max="2311"/>
    <col hidden="1" width="13" customWidth="1" style="88" min="2312" max="2312"/>
    <col width="9.140625" customWidth="1" style="88" min="2313" max="2315"/>
    <col width="14.140625" customWidth="1" style="88" min="2316" max="2316"/>
    <col width="9.140625" customWidth="1" style="88" min="2317" max="2560"/>
    <col width="2" customWidth="1" style="88" min="2561" max="2561"/>
    <col width="5.85546875" customWidth="1" style="88" min="2562" max="2562"/>
    <col width="38.5703125" customWidth="1" style="88" min="2563" max="2563"/>
    <col width="10" customWidth="1" style="88" min="2564" max="2564"/>
    <col width="21.5703125" customWidth="1" style="88" min="2565" max="2565"/>
    <col width="22.7109375" customWidth="1" style="88" min="2566" max="2566"/>
    <col width="0.28515625" customWidth="1" style="88" min="2567" max="2567"/>
    <col hidden="1" width="13" customWidth="1" style="88" min="2568" max="2568"/>
    <col width="9.140625" customWidth="1" style="88" min="2569" max="2571"/>
    <col width="14.140625" customWidth="1" style="88" min="2572" max="2572"/>
    <col width="9.140625" customWidth="1" style="88" min="2573" max="2816"/>
    <col width="2" customWidth="1" style="88" min="2817" max="2817"/>
    <col width="5.85546875" customWidth="1" style="88" min="2818" max="2818"/>
    <col width="38.5703125" customWidth="1" style="88" min="2819" max="2819"/>
    <col width="10" customWidth="1" style="88" min="2820" max="2820"/>
    <col width="21.5703125" customWidth="1" style="88" min="2821" max="2821"/>
    <col width="22.7109375" customWidth="1" style="88" min="2822" max="2822"/>
    <col width="0.28515625" customWidth="1" style="88" min="2823" max="2823"/>
    <col hidden="1" width="13" customWidth="1" style="88" min="2824" max="2824"/>
    <col width="9.140625" customWidth="1" style="88" min="2825" max="2827"/>
    <col width="14.140625" customWidth="1" style="88" min="2828" max="2828"/>
    <col width="9.140625" customWidth="1" style="88" min="2829" max="3072"/>
    <col width="2" customWidth="1" style="88" min="3073" max="3073"/>
    <col width="5.85546875" customWidth="1" style="88" min="3074" max="3074"/>
    <col width="38.5703125" customWidth="1" style="88" min="3075" max="3075"/>
    <col width="10" customWidth="1" style="88" min="3076" max="3076"/>
    <col width="21.5703125" customWidth="1" style="88" min="3077" max="3077"/>
    <col width="22.7109375" customWidth="1" style="88" min="3078" max="3078"/>
    <col width="0.28515625" customWidth="1" style="88" min="3079" max="3079"/>
    <col hidden="1" width="13" customWidth="1" style="88" min="3080" max="3080"/>
    <col width="9.140625" customWidth="1" style="88" min="3081" max="3083"/>
    <col width="14.140625" customWidth="1" style="88" min="3084" max="3084"/>
    <col width="9.140625" customWidth="1" style="88" min="3085" max="3328"/>
    <col width="2" customWidth="1" style="88" min="3329" max="3329"/>
    <col width="5.85546875" customWidth="1" style="88" min="3330" max="3330"/>
    <col width="38.5703125" customWidth="1" style="88" min="3331" max="3331"/>
    <col width="10" customWidth="1" style="88" min="3332" max="3332"/>
    <col width="21.5703125" customWidth="1" style="88" min="3333" max="3333"/>
    <col width="22.7109375" customWidth="1" style="88" min="3334" max="3334"/>
    <col width="0.28515625" customWidth="1" style="88" min="3335" max="3335"/>
    <col hidden="1" width="13" customWidth="1" style="88" min="3336" max="3336"/>
    <col width="9.140625" customWidth="1" style="88" min="3337" max="3339"/>
    <col width="14.140625" customWidth="1" style="88" min="3340" max="3340"/>
    <col width="9.140625" customWidth="1" style="88" min="3341" max="3584"/>
    <col width="2" customWidth="1" style="88" min="3585" max="3585"/>
    <col width="5.85546875" customWidth="1" style="88" min="3586" max="3586"/>
    <col width="38.5703125" customWidth="1" style="88" min="3587" max="3587"/>
    <col width="10" customWidth="1" style="88" min="3588" max="3588"/>
    <col width="21.5703125" customWidth="1" style="88" min="3589" max="3589"/>
    <col width="22.7109375" customWidth="1" style="88" min="3590" max="3590"/>
    <col width="0.28515625" customWidth="1" style="88" min="3591" max="3591"/>
    <col hidden="1" width="13" customWidth="1" style="88" min="3592" max="3592"/>
    <col width="9.140625" customWidth="1" style="88" min="3593" max="3595"/>
    <col width="14.140625" customWidth="1" style="88" min="3596" max="3596"/>
    <col width="9.140625" customWidth="1" style="88" min="3597" max="3840"/>
    <col width="2" customWidth="1" style="88" min="3841" max="3841"/>
    <col width="5.85546875" customWidth="1" style="88" min="3842" max="3842"/>
    <col width="38.5703125" customWidth="1" style="88" min="3843" max="3843"/>
    <col width="10" customWidth="1" style="88" min="3844" max="3844"/>
    <col width="21.5703125" customWidth="1" style="88" min="3845" max="3845"/>
    <col width="22.7109375" customWidth="1" style="88" min="3846" max="3846"/>
    <col width="0.28515625" customWidth="1" style="88" min="3847" max="3847"/>
    <col hidden="1" width="13" customWidth="1" style="88" min="3848" max="3848"/>
    <col width="9.140625" customWidth="1" style="88" min="3849" max="3851"/>
    <col width="14.140625" customWidth="1" style="88" min="3852" max="3852"/>
    <col width="9.140625" customWidth="1" style="88" min="3853" max="4096"/>
    <col width="2" customWidth="1" style="88" min="4097" max="4097"/>
    <col width="5.85546875" customWidth="1" style="88" min="4098" max="4098"/>
    <col width="38.5703125" customWidth="1" style="88" min="4099" max="4099"/>
    <col width="10" customWidth="1" style="88" min="4100" max="4100"/>
    <col width="21.5703125" customWidth="1" style="88" min="4101" max="4101"/>
    <col width="22.7109375" customWidth="1" style="88" min="4102" max="4102"/>
    <col width="0.28515625" customWidth="1" style="88" min="4103" max="4103"/>
    <col hidden="1" width="13" customWidth="1" style="88" min="4104" max="4104"/>
    <col width="9.140625" customWidth="1" style="88" min="4105" max="4107"/>
    <col width="14.140625" customWidth="1" style="88" min="4108" max="4108"/>
    <col width="9.140625" customWidth="1" style="88" min="4109" max="4352"/>
    <col width="2" customWidth="1" style="88" min="4353" max="4353"/>
    <col width="5.85546875" customWidth="1" style="88" min="4354" max="4354"/>
    <col width="38.5703125" customWidth="1" style="88" min="4355" max="4355"/>
    <col width="10" customWidth="1" style="88" min="4356" max="4356"/>
    <col width="21.5703125" customWidth="1" style="88" min="4357" max="4357"/>
    <col width="22.7109375" customWidth="1" style="88" min="4358" max="4358"/>
    <col width="0.28515625" customWidth="1" style="88" min="4359" max="4359"/>
    <col hidden="1" width="13" customWidth="1" style="88" min="4360" max="4360"/>
    <col width="9.140625" customWidth="1" style="88" min="4361" max="4363"/>
    <col width="14.140625" customWidth="1" style="88" min="4364" max="4364"/>
    <col width="9.140625" customWidth="1" style="88" min="4365" max="4608"/>
    <col width="2" customWidth="1" style="88" min="4609" max="4609"/>
    <col width="5.85546875" customWidth="1" style="88" min="4610" max="4610"/>
    <col width="38.5703125" customWidth="1" style="88" min="4611" max="4611"/>
    <col width="10" customWidth="1" style="88" min="4612" max="4612"/>
    <col width="21.5703125" customWidth="1" style="88" min="4613" max="4613"/>
    <col width="22.7109375" customWidth="1" style="88" min="4614" max="4614"/>
    <col width="0.28515625" customWidth="1" style="88" min="4615" max="4615"/>
    <col hidden="1" width="13" customWidth="1" style="88" min="4616" max="4616"/>
    <col width="9.140625" customWidth="1" style="88" min="4617" max="4619"/>
    <col width="14.140625" customWidth="1" style="88" min="4620" max="4620"/>
    <col width="9.140625" customWidth="1" style="88" min="4621" max="4864"/>
    <col width="2" customWidth="1" style="88" min="4865" max="4865"/>
    <col width="5.85546875" customWidth="1" style="88" min="4866" max="4866"/>
    <col width="38.5703125" customWidth="1" style="88" min="4867" max="4867"/>
    <col width="10" customWidth="1" style="88" min="4868" max="4868"/>
    <col width="21.5703125" customWidth="1" style="88" min="4869" max="4869"/>
    <col width="22.7109375" customWidth="1" style="88" min="4870" max="4870"/>
    <col width="0.28515625" customWidth="1" style="88" min="4871" max="4871"/>
    <col hidden="1" width="13" customWidth="1" style="88" min="4872" max="4872"/>
    <col width="9.140625" customWidth="1" style="88" min="4873" max="4875"/>
    <col width="14.140625" customWidth="1" style="88" min="4876" max="4876"/>
    <col width="9.140625" customWidth="1" style="88" min="4877" max="5120"/>
    <col width="2" customWidth="1" style="88" min="5121" max="5121"/>
    <col width="5.85546875" customWidth="1" style="88" min="5122" max="5122"/>
    <col width="38.5703125" customWidth="1" style="88" min="5123" max="5123"/>
    <col width="10" customWidth="1" style="88" min="5124" max="5124"/>
    <col width="21.5703125" customWidth="1" style="88" min="5125" max="5125"/>
    <col width="22.7109375" customWidth="1" style="88" min="5126" max="5126"/>
    <col width="0.28515625" customWidth="1" style="88" min="5127" max="5127"/>
    <col hidden="1" width="13" customWidth="1" style="88" min="5128" max="5128"/>
    <col width="9.140625" customWidth="1" style="88" min="5129" max="5131"/>
    <col width="14.140625" customWidth="1" style="88" min="5132" max="5132"/>
    <col width="9.140625" customWidth="1" style="88" min="5133" max="5376"/>
    <col width="2" customWidth="1" style="88" min="5377" max="5377"/>
    <col width="5.85546875" customWidth="1" style="88" min="5378" max="5378"/>
    <col width="38.5703125" customWidth="1" style="88" min="5379" max="5379"/>
    <col width="10" customWidth="1" style="88" min="5380" max="5380"/>
    <col width="21.5703125" customWidth="1" style="88" min="5381" max="5381"/>
    <col width="22.7109375" customWidth="1" style="88" min="5382" max="5382"/>
    <col width="0.28515625" customWidth="1" style="88" min="5383" max="5383"/>
    <col hidden="1" width="13" customWidth="1" style="88" min="5384" max="5384"/>
    <col width="9.140625" customWidth="1" style="88" min="5385" max="5387"/>
    <col width="14.140625" customWidth="1" style="88" min="5388" max="5388"/>
    <col width="9.140625" customWidth="1" style="88" min="5389" max="5632"/>
    <col width="2" customWidth="1" style="88" min="5633" max="5633"/>
    <col width="5.85546875" customWidth="1" style="88" min="5634" max="5634"/>
    <col width="38.5703125" customWidth="1" style="88" min="5635" max="5635"/>
    <col width="10" customWidth="1" style="88" min="5636" max="5636"/>
    <col width="21.5703125" customWidth="1" style="88" min="5637" max="5637"/>
    <col width="22.7109375" customWidth="1" style="88" min="5638" max="5638"/>
    <col width="0.28515625" customWidth="1" style="88" min="5639" max="5639"/>
    <col hidden="1" width="13" customWidth="1" style="88" min="5640" max="5640"/>
    <col width="9.140625" customWidth="1" style="88" min="5641" max="5643"/>
    <col width="14.140625" customWidth="1" style="88" min="5644" max="5644"/>
    <col width="9.140625" customWidth="1" style="88" min="5645" max="5888"/>
    <col width="2" customWidth="1" style="88" min="5889" max="5889"/>
    <col width="5.85546875" customWidth="1" style="88" min="5890" max="5890"/>
    <col width="38.5703125" customWidth="1" style="88" min="5891" max="5891"/>
    <col width="10" customWidth="1" style="88" min="5892" max="5892"/>
    <col width="21.5703125" customWidth="1" style="88" min="5893" max="5893"/>
    <col width="22.7109375" customWidth="1" style="88" min="5894" max="5894"/>
    <col width="0.28515625" customWidth="1" style="88" min="5895" max="5895"/>
    <col hidden="1" width="13" customWidth="1" style="88" min="5896" max="5896"/>
    <col width="9.140625" customWidth="1" style="88" min="5897" max="5899"/>
    <col width="14.140625" customWidth="1" style="88" min="5900" max="5900"/>
    <col width="9.140625" customWidth="1" style="88" min="5901" max="6144"/>
    <col width="2" customWidth="1" style="88" min="6145" max="6145"/>
    <col width="5.85546875" customWidth="1" style="88" min="6146" max="6146"/>
    <col width="38.5703125" customWidth="1" style="88" min="6147" max="6147"/>
    <col width="10" customWidth="1" style="88" min="6148" max="6148"/>
    <col width="21.5703125" customWidth="1" style="88" min="6149" max="6149"/>
    <col width="22.7109375" customWidth="1" style="88" min="6150" max="6150"/>
    <col width="0.28515625" customWidth="1" style="88" min="6151" max="6151"/>
    <col hidden="1" width="13" customWidth="1" style="88" min="6152" max="6152"/>
    <col width="9.140625" customWidth="1" style="88" min="6153" max="6155"/>
    <col width="14.140625" customWidth="1" style="88" min="6156" max="6156"/>
    <col width="9.140625" customWidth="1" style="88" min="6157" max="6400"/>
    <col width="2" customWidth="1" style="88" min="6401" max="6401"/>
    <col width="5.85546875" customWidth="1" style="88" min="6402" max="6402"/>
    <col width="38.5703125" customWidth="1" style="88" min="6403" max="6403"/>
    <col width="10" customWidth="1" style="88" min="6404" max="6404"/>
    <col width="21.5703125" customWidth="1" style="88" min="6405" max="6405"/>
    <col width="22.7109375" customWidth="1" style="88" min="6406" max="6406"/>
    <col width="0.28515625" customWidth="1" style="88" min="6407" max="6407"/>
    <col hidden="1" width="13" customWidth="1" style="88" min="6408" max="6408"/>
    <col width="9.140625" customWidth="1" style="88" min="6409" max="6411"/>
    <col width="14.140625" customWidth="1" style="88" min="6412" max="6412"/>
    <col width="9.140625" customWidth="1" style="88" min="6413" max="6656"/>
    <col width="2" customWidth="1" style="88" min="6657" max="6657"/>
    <col width="5.85546875" customWidth="1" style="88" min="6658" max="6658"/>
    <col width="38.5703125" customWidth="1" style="88" min="6659" max="6659"/>
    <col width="10" customWidth="1" style="88" min="6660" max="6660"/>
    <col width="21.5703125" customWidth="1" style="88" min="6661" max="6661"/>
    <col width="22.7109375" customWidth="1" style="88" min="6662" max="6662"/>
    <col width="0.28515625" customWidth="1" style="88" min="6663" max="6663"/>
    <col hidden="1" width="13" customWidth="1" style="88" min="6664" max="6664"/>
    <col width="9.140625" customWidth="1" style="88" min="6665" max="6667"/>
    <col width="14.140625" customWidth="1" style="88" min="6668" max="6668"/>
    <col width="9.140625" customWidth="1" style="88" min="6669" max="6912"/>
    <col width="2" customWidth="1" style="88" min="6913" max="6913"/>
    <col width="5.85546875" customWidth="1" style="88" min="6914" max="6914"/>
    <col width="38.5703125" customWidth="1" style="88" min="6915" max="6915"/>
    <col width="10" customWidth="1" style="88" min="6916" max="6916"/>
    <col width="21.5703125" customWidth="1" style="88" min="6917" max="6917"/>
    <col width="22.7109375" customWidth="1" style="88" min="6918" max="6918"/>
    <col width="0.28515625" customWidth="1" style="88" min="6919" max="6919"/>
    <col hidden="1" width="13" customWidth="1" style="88" min="6920" max="6920"/>
    <col width="9.140625" customWidth="1" style="88" min="6921" max="6923"/>
    <col width="14.140625" customWidth="1" style="88" min="6924" max="6924"/>
    <col width="9.140625" customWidth="1" style="88" min="6925" max="7168"/>
    <col width="2" customWidth="1" style="88" min="7169" max="7169"/>
    <col width="5.85546875" customWidth="1" style="88" min="7170" max="7170"/>
    <col width="38.5703125" customWidth="1" style="88" min="7171" max="7171"/>
    <col width="10" customWidth="1" style="88" min="7172" max="7172"/>
    <col width="21.5703125" customWidth="1" style="88" min="7173" max="7173"/>
    <col width="22.7109375" customWidth="1" style="88" min="7174" max="7174"/>
    <col width="0.28515625" customWidth="1" style="88" min="7175" max="7175"/>
    <col hidden="1" width="13" customWidth="1" style="88" min="7176" max="7176"/>
    <col width="9.140625" customWidth="1" style="88" min="7177" max="7179"/>
    <col width="14.140625" customWidth="1" style="88" min="7180" max="7180"/>
    <col width="9.140625" customWidth="1" style="88" min="7181" max="7424"/>
    <col width="2" customWidth="1" style="88" min="7425" max="7425"/>
    <col width="5.85546875" customWidth="1" style="88" min="7426" max="7426"/>
    <col width="38.5703125" customWidth="1" style="88" min="7427" max="7427"/>
    <col width="10" customWidth="1" style="88" min="7428" max="7428"/>
    <col width="21.5703125" customWidth="1" style="88" min="7429" max="7429"/>
    <col width="22.7109375" customWidth="1" style="88" min="7430" max="7430"/>
    <col width="0.28515625" customWidth="1" style="88" min="7431" max="7431"/>
    <col hidden="1" width="13" customWidth="1" style="88" min="7432" max="7432"/>
    <col width="9.140625" customWidth="1" style="88" min="7433" max="7435"/>
    <col width="14.140625" customWidth="1" style="88" min="7436" max="7436"/>
    <col width="9.140625" customWidth="1" style="88" min="7437" max="7680"/>
    <col width="2" customWidth="1" style="88" min="7681" max="7681"/>
    <col width="5.85546875" customWidth="1" style="88" min="7682" max="7682"/>
    <col width="38.5703125" customWidth="1" style="88" min="7683" max="7683"/>
    <col width="10" customWidth="1" style="88" min="7684" max="7684"/>
    <col width="21.5703125" customWidth="1" style="88" min="7685" max="7685"/>
    <col width="22.7109375" customWidth="1" style="88" min="7686" max="7686"/>
    <col width="0.28515625" customWidth="1" style="88" min="7687" max="7687"/>
    <col hidden="1" width="13" customWidth="1" style="88" min="7688" max="7688"/>
    <col width="9.140625" customWidth="1" style="88" min="7689" max="7691"/>
    <col width="14.140625" customWidth="1" style="88" min="7692" max="7692"/>
    <col width="9.140625" customWidth="1" style="88" min="7693" max="7936"/>
    <col width="2" customWidth="1" style="88" min="7937" max="7937"/>
    <col width="5.85546875" customWidth="1" style="88" min="7938" max="7938"/>
    <col width="38.5703125" customWidth="1" style="88" min="7939" max="7939"/>
    <col width="10" customWidth="1" style="88" min="7940" max="7940"/>
    <col width="21.5703125" customWidth="1" style="88" min="7941" max="7941"/>
    <col width="22.7109375" customWidth="1" style="88" min="7942" max="7942"/>
    <col width="0.28515625" customWidth="1" style="88" min="7943" max="7943"/>
    <col hidden="1" width="13" customWidth="1" style="88" min="7944" max="7944"/>
    <col width="9.140625" customWidth="1" style="88" min="7945" max="7947"/>
    <col width="14.140625" customWidth="1" style="88" min="7948" max="7948"/>
    <col width="9.140625" customWidth="1" style="88" min="7949" max="8192"/>
    <col width="2" customWidth="1" style="88" min="8193" max="8193"/>
    <col width="5.85546875" customWidth="1" style="88" min="8194" max="8194"/>
    <col width="38.5703125" customWidth="1" style="88" min="8195" max="8195"/>
    <col width="10" customWidth="1" style="88" min="8196" max="8196"/>
    <col width="21.5703125" customWidth="1" style="88" min="8197" max="8197"/>
    <col width="22.7109375" customWidth="1" style="88" min="8198" max="8198"/>
    <col width="0.28515625" customWidth="1" style="88" min="8199" max="8199"/>
    <col hidden="1" width="13" customWidth="1" style="88" min="8200" max="8200"/>
    <col width="9.140625" customWidth="1" style="88" min="8201" max="8203"/>
    <col width="14.140625" customWidth="1" style="88" min="8204" max="8204"/>
    <col width="9.140625" customWidth="1" style="88" min="8205" max="8448"/>
    <col width="2" customWidth="1" style="88" min="8449" max="8449"/>
    <col width="5.85546875" customWidth="1" style="88" min="8450" max="8450"/>
    <col width="38.5703125" customWidth="1" style="88" min="8451" max="8451"/>
    <col width="10" customWidth="1" style="88" min="8452" max="8452"/>
    <col width="21.5703125" customWidth="1" style="88" min="8453" max="8453"/>
    <col width="22.7109375" customWidth="1" style="88" min="8454" max="8454"/>
    <col width="0.28515625" customWidth="1" style="88" min="8455" max="8455"/>
    <col hidden="1" width="13" customWidth="1" style="88" min="8456" max="8456"/>
    <col width="9.140625" customWidth="1" style="88" min="8457" max="8459"/>
    <col width="14.140625" customWidth="1" style="88" min="8460" max="8460"/>
    <col width="9.140625" customWidth="1" style="88" min="8461" max="8704"/>
    <col width="2" customWidth="1" style="88" min="8705" max="8705"/>
    <col width="5.85546875" customWidth="1" style="88" min="8706" max="8706"/>
    <col width="38.5703125" customWidth="1" style="88" min="8707" max="8707"/>
    <col width="10" customWidth="1" style="88" min="8708" max="8708"/>
    <col width="21.5703125" customWidth="1" style="88" min="8709" max="8709"/>
    <col width="22.7109375" customWidth="1" style="88" min="8710" max="8710"/>
    <col width="0.28515625" customWidth="1" style="88" min="8711" max="8711"/>
    <col hidden="1" width="13" customWidth="1" style="88" min="8712" max="8712"/>
    <col width="9.140625" customWidth="1" style="88" min="8713" max="8715"/>
    <col width="14.140625" customWidth="1" style="88" min="8716" max="8716"/>
    <col width="9.140625" customWidth="1" style="88" min="8717" max="8960"/>
    <col width="2" customWidth="1" style="88" min="8961" max="8961"/>
    <col width="5.85546875" customWidth="1" style="88" min="8962" max="8962"/>
    <col width="38.5703125" customWidth="1" style="88" min="8963" max="8963"/>
    <col width="10" customWidth="1" style="88" min="8964" max="8964"/>
    <col width="21.5703125" customWidth="1" style="88" min="8965" max="8965"/>
    <col width="22.7109375" customWidth="1" style="88" min="8966" max="8966"/>
    <col width="0.28515625" customWidth="1" style="88" min="8967" max="8967"/>
    <col hidden="1" width="13" customWidth="1" style="88" min="8968" max="8968"/>
    <col width="9.140625" customWidth="1" style="88" min="8969" max="8971"/>
    <col width="14.140625" customWidth="1" style="88" min="8972" max="8972"/>
    <col width="9.140625" customWidth="1" style="88" min="8973" max="9216"/>
    <col width="2" customWidth="1" style="88" min="9217" max="9217"/>
    <col width="5.85546875" customWidth="1" style="88" min="9218" max="9218"/>
    <col width="38.5703125" customWidth="1" style="88" min="9219" max="9219"/>
    <col width="10" customWidth="1" style="88" min="9220" max="9220"/>
    <col width="21.5703125" customWidth="1" style="88" min="9221" max="9221"/>
    <col width="22.7109375" customWidth="1" style="88" min="9222" max="9222"/>
    <col width="0.28515625" customWidth="1" style="88" min="9223" max="9223"/>
    <col hidden="1" width="13" customWidth="1" style="88" min="9224" max="9224"/>
    <col width="9.140625" customWidth="1" style="88" min="9225" max="9227"/>
    <col width="14.140625" customWidth="1" style="88" min="9228" max="9228"/>
    <col width="9.140625" customWidth="1" style="88" min="9229" max="9472"/>
    <col width="2" customWidth="1" style="88" min="9473" max="9473"/>
    <col width="5.85546875" customWidth="1" style="88" min="9474" max="9474"/>
    <col width="38.5703125" customWidth="1" style="88" min="9475" max="9475"/>
    <col width="10" customWidth="1" style="88" min="9476" max="9476"/>
    <col width="21.5703125" customWidth="1" style="88" min="9477" max="9477"/>
    <col width="22.7109375" customWidth="1" style="88" min="9478" max="9478"/>
    <col width="0.28515625" customWidth="1" style="88" min="9479" max="9479"/>
    <col hidden="1" width="13" customWidth="1" style="88" min="9480" max="9480"/>
    <col width="9.140625" customWidth="1" style="88" min="9481" max="9483"/>
    <col width="14.140625" customWidth="1" style="88" min="9484" max="9484"/>
    <col width="9.140625" customWidth="1" style="88" min="9485" max="9728"/>
    <col width="2" customWidth="1" style="88" min="9729" max="9729"/>
    <col width="5.85546875" customWidth="1" style="88" min="9730" max="9730"/>
    <col width="38.5703125" customWidth="1" style="88" min="9731" max="9731"/>
    <col width="10" customWidth="1" style="88" min="9732" max="9732"/>
    <col width="21.5703125" customWidth="1" style="88" min="9733" max="9733"/>
    <col width="22.7109375" customWidth="1" style="88" min="9734" max="9734"/>
    <col width="0.28515625" customWidth="1" style="88" min="9735" max="9735"/>
    <col hidden="1" width="13" customWidth="1" style="88" min="9736" max="9736"/>
    <col width="9.140625" customWidth="1" style="88" min="9737" max="9739"/>
    <col width="14.140625" customWidth="1" style="88" min="9740" max="9740"/>
    <col width="9.140625" customWidth="1" style="88" min="9741" max="9984"/>
    <col width="2" customWidth="1" style="88" min="9985" max="9985"/>
    <col width="5.85546875" customWidth="1" style="88" min="9986" max="9986"/>
    <col width="38.5703125" customWidth="1" style="88" min="9987" max="9987"/>
    <col width="10" customWidth="1" style="88" min="9988" max="9988"/>
    <col width="21.5703125" customWidth="1" style="88" min="9989" max="9989"/>
    <col width="22.7109375" customWidth="1" style="88" min="9990" max="9990"/>
    <col width="0.28515625" customWidth="1" style="88" min="9991" max="9991"/>
    <col hidden="1" width="13" customWidth="1" style="88" min="9992" max="9992"/>
    <col width="9.140625" customWidth="1" style="88" min="9993" max="9995"/>
    <col width="14.140625" customWidth="1" style="88" min="9996" max="9996"/>
    <col width="9.140625" customWidth="1" style="88" min="9997" max="10240"/>
    <col width="2" customWidth="1" style="88" min="10241" max="10241"/>
    <col width="5.85546875" customWidth="1" style="88" min="10242" max="10242"/>
    <col width="38.5703125" customWidth="1" style="88" min="10243" max="10243"/>
    <col width="10" customWidth="1" style="88" min="10244" max="10244"/>
    <col width="21.5703125" customWidth="1" style="88" min="10245" max="10245"/>
    <col width="22.7109375" customWidth="1" style="88" min="10246" max="10246"/>
    <col width="0.28515625" customWidth="1" style="88" min="10247" max="10247"/>
    <col hidden="1" width="13" customWidth="1" style="88" min="10248" max="10248"/>
    <col width="9.140625" customWidth="1" style="88" min="10249" max="10251"/>
    <col width="14.140625" customWidth="1" style="88" min="10252" max="10252"/>
    <col width="9.140625" customWidth="1" style="88" min="10253" max="10496"/>
    <col width="2" customWidth="1" style="88" min="10497" max="10497"/>
    <col width="5.85546875" customWidth="1" style="88" min="10498" max="10498"/>
    <col width="38.5703125" customWidth="1" style="88" min="10499" max="10499"/>
    <col width="10" customWidth="1" style="88" min="10500" max="10500"/>
    <col width="21.5703125" customWidth="1" style="88" min="10501" max="10501"/>
    <col width="22.7109375" customWidth="1" style="88" min="10502" max="10502"/>
    <col width="0.28515625" customWidth="1" style="88" min="10503" max="10503"/>
    <col hidden="1" width="13" customWidth="1" style="88" min="10504" max="10504"/>
    <col width="9.140625" customWidth="1" style="88" min="10505" max="10507"/>
    <col width="14.140625" customWidth="1" style="88" min="10508" max="10508"/>
    <col width="9.140625" customWidth="1" style="88" min="10509" max="10752"/>
    <col width="2" customWidth="1" style="88" min="10753" max="10753"/>
    <col width="5.85546875" customWidth="1" style="88" min="10754" max="10754"/>
    <col width="38.5703125" customWidth="1" style="88" min="10755" max="10755"/>
    <col width="10" customWidth="1" style="88" min="10756" max="10756"/>
    <col width="21.5703125" customWidth="1" style="88" min="10757" max="10757"/>
    <col width="22.7109375" customWidth="1" style="88" min="10758" max="10758"/>
    <col width="0.28515625" customWidth="1" style="88" min="10759" max="10759"/>
    <col hidden="1" width="13" customWidth="1" style="88" min="10760" max="10760"/>
    <col width="9.140625" customWidth="1" style="88" min="10761" max="10763"/>
    <col width="14.140625" customWidth="1" style="88" min="10764" max="10764"/>
    <col width="9.140625" customWidth="1" style="88" min="10765" max="11008"/>
    <col width="2" customWidth="1" style="88" min="11009" max="11009"/>
    <col width="5.85546875" customWidth="1" style="88" min="11010" max="11010"/>
    <col width="38.5703125" customWidth="1" style="88" min="11011" max="11011"/>
    <col width="10" customWidth="1" style="88" min="11012" max="11012"/>
    <col width="21.5703125" customWidth="1" style="88" min="11013" max="11013"/>
    <col width="22.7109375" customWidth="1" style="88" min="11014" max="11014"/>
    <col width="0.28515625" customWidth="1" style="88" min="11015" max="11015"/>
    <col hidden="1" width="13" customWidth="1" style="88" min="11016" max="11016"/>
    <col width="9.140625" customWidth="1" style="88" min="11017" max="11019"/>
    <col width="14.140625" customWidth="1" style="88" min="11020" max="11020"/>
    <col width="9.140625" customWidth="1" style="88" min="11021" max="11264"/>
    <col width="2" customWidth="1" style="88" min="11265" max="11265"/>
    <col width="5.85546875" customWidth="1" style="88" min="11266" max="11266"/>
    <col width="38.5703125" customWidth="1" style="88" min="11267" max="11267"/>
    <col width="10" customWidth="1" style="88" min="11268" max="11268"/>
    <col width="21.5703125" customWidth="1" style="88" min="11269" max="11269"/>
    <col width="22.7109375" customWidth="1" style="88" min="11270" max="11270"/>
    <col width="0.28515625" customWidth="1" style="88" min="11271" max="11271"/>
    <col hidden="1" width="13" customWidth="1" style="88" min="11272" max="11272"/>
    <col width="9.140625" customWidth="1" style="88" min="11273" max="11275"/>
    <col width="14.140625" customWidth="1" style="88" min="11276" max="11276"/>
    <col width="9.140625" customWidth="1" style="88" min="11277" max="11520"/>
    <col width="2" customWidth="1" style="88" min="11521" max="11521"/>
    <col width="5.85546875" customWidth="1" style="88" min="11522" max="11522"/>
    <col width="38.5703125" customWidth="1" style="88" min="11523" max="11523"/>
    <col width="10" customWidth="1" style="88" min="11524" max="11524"/>
    <col width="21.5703125" customWidth="1" style="88" min="11525" max="11525"/>
    <col width="22.7109375" customWidth="1" style="88" min="11526" max="11526"/>
    <col width="0.28515625" customWidth="1" style="88" min="11527" max="11527"/>
    <col hidden="1" width="13" customWidth="1" style="88" min="11528" max="11528"/>
    <col width="9.140625" customWidth="1" style="88" min="11529" max="11531"/>
    <col width="14.140625" customWidth="1" style="88" min="11532" max="11532"/>
    <col width="9.140625" customWidth="1" style="88" min="11533" max="11776"/>
    <col width="2" customWidth="1" style="88" min="11777" max="11777"/>
    <col width="5.85546875" customWidth="1" style="88" min="11778" max="11778"/>
    <col width="38.5703125" customWidth="1" style="88" min="11779" max="11779"/>
    <col width="10" customWidth="1" style="88" min="11780" max="11780"/>
    <col width="21.5703125" customWidth="1" style="88" min="11781" max="11781"/>
    <col width="22.7109375" customWidth="1" style="88" min="11782" max="11782"/>
    <col width="0.28515625" customWidth="1" style="88" min="11783" max="11783"/>
    <col hidden="1" width="13" customWidth="1" style="88" min="11784" max="11784"/>
    <col width="9.140625" customWidth="1" style="88" min="11785" max="11787"/>
    <col width="14.140625" customWidth="1" style="88" min="11788" max="11788"/>
    <col width="9.140625" customWidth="1" style="88" min="11789" max="12032"/>
    <col width="2" customWidth="1" style="88" min="12033" max="12033"/>
    <col width="5.85546875" customWidth="1" style="88" min="12034" max="12034"/>
    <col width="38.5703125" customWidth="1" style="88" min="12035" max="12035"/>
    <col width="10" customWidth="1" style="88" min="12036" max="12036"/>
    <col width="21.5703125" customWidth="1" style="88" min="12037" max="12037"/>
    <col width="22.7109375" customWidth="1" style="88" min="12038" max="12038"/>
    <col width="0.28515625" customWidth="1" style="88" min="12039" max="12039"/>
    <col hidden="1" width="13" customWidth="1" style="88" min="12040" max="12040"/>
    <col width="9.140625" customWidth="1" style="88" min="12041" max="12043"/>
    <col width="14.140625" customWidth="1" style="88" min="12044" max="12044"/>
    <col width="9.140625" customWidth="1" style="88" min="12045" max="12288"/>
    <col width="2" customWidth="1" style="88" min="12289" max="12289"/>
    <col width="5.85546875" customWidth="1" style="88" min="12290" max="12290"/>
    <col width="38.5703125" customWidth="1" style="88" min="12291" max="12291"/>
    <col width="10" customWidth="1" style="88" min="12292" max="12292"/>
    <col width="21.5703125" customWidth="1" style="88" min="12293" max="12293"/>
    <col width="22.7109375" customWidth="1" style="88" min="12294" max="12294"/>
    <col width="0.28515625" customWidth="1" style="88" min="12295" max="12295"/>
    <col hidden="1" width="13" customWidth="1" style="88" min="12296" max="12296"/>
    <col width="9.140625" customWidth="1" style="88" min="12297" max="12299"/>
    <col width="14.140625" customWidth="1" style="88" min="12300" max="12300"/>
    <col width="9.140625" customWidth="1" style="88" min="12301" max="12544"/>
    <col width="2" customWidth="1" style="88" min="12545" max="12545"/>
    <col width="5.85546875" customWidth="1" style="88" min="12546" max="12546"/>
    <col width="38.5703125" customWidth="1" style="88" min="12547" max="12547"/>
    <col width="10" customWidth="1" style="88" min="12548" max="12548"/>
    <col width="21.5703125" customWidth="1" style="88" min="12549" max="12549"/>
    <col width="22.7109375" customWidth="1" style="88" min="12550" max="12550"/>
    <col width="0.28515625" customWidth="1" style="88" min="12551" max="12551"/>
    <col hidden="1" width="13" customWidth="1" style="88" min="12552" max="12552"/>
    <col width="9.140625" customWidth="1" style="88" min="12553" max="12555"/>
    <col width="14.140625" customWidth="1" style="88" min="12556" max="12556"/>
    <col width="9.140625" customWidth="1" style="88" min="12557" max="12800"/>
    <col width="2" customWidth="1" style="88" min="12801" max="12801"/>
    <col width="5.85546875" customWidth="1" style="88" min="12802" max="12802"/>
    <col width="38.5703125" customWidth="1" style="88" min="12803" max="12803"/>
    <col width="10" customWidth="1" style="88" min="12804" max="12804"/>
    <col width="21.5703125" customWidth="1" style="88" min="12805" max="12805"/>
    <col width="22.7109375" customWidth="1" style="88" min="12806" max="12806"/>
    <col width="0.28515625" customWidth="1" style="88" min="12807" max="12807"/>
    <col hidden="1" width="13" customWidth="1" style="88" min="12808" max="12808"/>
    <col width="9.140625" customWidth="1" style="88" min="12809" max="12811"/>
    <col width="14.140625" customWidth="1" style="88" min="12812" max="12812"/>
    <col width="9.140625" customWidth="1" style="88" min="12813" max="13056"/>
    <col width="2" customWidth="1" style="88" min="13057" max="13057"/>
    <col width="5.85546875" customWidth="1" style="88" min="13058" max="13058"/>
    <col width="38.5703125" customWidth="1" style="88" min="13059" max="13059"/>
    <col width="10" customWidth="1" style="88" min="13060" max="13060"/>
    <col width="21.5703125" customWidth="1" style="88" min="13061" max="13061"/>
    <col width="22.7109375" customWidth="1" style="88" min="13062" max="13062"/>
    <col width="0.28515625" customWidth="1" style="88" min="13063" max="13063"/>
    <col hidden="1" width="13" customWidth="1" style="88" min="13064" max="13064"/>
    <col width="9.140625" customWidth="1" style="88" min="13065" max="13067"/>
    <col width="14.140625" customWidth="1" style="88" min="13068" max="13068"/>
    <col width="9.140625" customWidth="1" style="88" min="13069" max="13312"/>
    <col width="2" customWidth="1" style="88" min="13313" max="13313"/>
    <col width="5.85546875" customWidth="1" style="88" min="13314" max="13314"/>
    <col width="38.5703125" customWidth="1" style="88" min="13315" max="13315"/>
    <col width="10" customWidth="1" style="88" min="13316" max="13316"/>
    <col width="21.5703125" customWidth="1" style="88" min="13317" max="13317"/>
    <col width="22.7109375" customWidth="1" style="88" min="13318" max="13318"/>
    <col width="0.28515625" customWidth="1" style="88" min="13319" max="13319"/>
    <col hidden="1" width="13" customWidth="1" style="88" min="13320" max="13320"/>
    <col width="9.140625" customWidth="1" style="88" min="13321" max="13323"/>
    <col width="14.140625" customWidth="1" style="88" min="13324" max="13324"/>
    <col width="9.140625" customWidth="1" style="88" min="13325" max="13568"/>
    <col width="2" customWidth="1" style="88" min="13569" max="13569"/>
    <col width="5.85546875" customWidth="1" style="88" min="13570" max="13570"/>
    <col width="38.5703125" customWidth="1" style="88" min="13571" max="13571"/>
    <col width="10" customWidth="1" style="88" min="13572" max="13572"/>
    <col width="21.5703125" customWidth="1" style="88" min="13573" max="13573"/>
    <col width="22.7109375" customWidth="1" style="88" min="13574" max="13574"/>
    <col width="0.28515625" customWidth="1" style="88" min="13575" max="13575"/>
    <col hidden="1" width="13" customWidth="1" style="88" min="13576" max="13576"/>
    <col width="9.140625" customWidth="1" style="88" min="13577" max="13579"/>
    <col width="14.140625" customWidth="1" style="88" min="13580" max="13580"/>
    <col width="9.140625" customWidth="1" style="88" min="13581" max="13824"/>
    <col width="2" customWidth="1" style="88" min="13825" max="13825"/>
    <col width="5.85546875" customWidth="1" style="88" min="13826" max="13826"/>
    <col width="38.5703125" customWidth="1" style="88" min="13827" max="13827"/>
    <col width="10" customWidth="1" style="88" min="13828" max="13828"/>
    <col width="21.5703125" customWidth="1" style="88" min="13829" max="13829"/>
    <col width="22.7109375" customWidth="1" style="88" min="13830" max="13830"/>
    <col width="0.28515625" customWidth="1" style="88" min="13831" max="13831"/>
    <col hidden="1" width="13" customWidth="1" style="88" min="13832" max="13832"/>
    <col width="9.140625" customWidth="1" style="88" min="13833" max="13835"/>
    <col width="14.140625" customWidth="1" style="88" min="13836" max="13836"/>
    <col width="9.140625" customWidth="1" style="88" min="13837" max="14080"/>
    <col width="2" customWidth="1" style="88" min="14081" max="14081"/>
    <col width="5.85546875" customWidth="1" style="88" min="14082" max="14082"/>
    <col width="38.5703125" customWidth="1" style="88" min="14083" max="14083"/>
    <col width="10" customWidth="1" style="88" min="14084" max="14084"/>
    <col width="21.5703125" customWidth="1" style="88" min="14085" max="14085"/>
    <col width="22.7109375" customWidth="1" style="88" min="14086" max="14086"/>
    <col width="0.28515625" customWidth="1" style="88" min="14087" max="14087"/>
    <col hidden="1" width="13" customWidth="1" style="88" min="14088" max="14088"/>
    <col width="9.140625" customWidth="1" style="88" min="14089" max="14091"/>
    <col width="14.140625" customWidth="1" style="88" min="14092" max="14092"/>
    <col width="9.140625" customWidth="1" style="88" min="14093" max="14336"/>
    <col width="2" customWidth="1" style="88" min="14337" max="14337"/>
    <col width="5.85546875" customWidth="1" style="88" min="14338" max="14338"/>
    <col width="38.5703125" customWidth="1" style="88" min="14339" max="14339"/>
    <col width="10" customWidth="1" style="88" min="14340" max="14340"/>
    <col width="21.5703125" customWidth="1" style="88" min="14341" max="14341"/>
    <col width="22.7109375" customWidth="1" style="88" min="14342" max="14342"/>
    <col width="0.28515625" customWidth="1" style="88" min="14343" max="14343"/>
    <col hidden="1" width="13" customWidth="1" style="88" min="14344" max="14344"/>
    <col width="9.140625" customWidth="1" style="88" min="14345" max="14347"/>
    <col width="14.140625" customWidth="1" style="88" min="14348" max="14348"/>
    <col width="9.140625" customWidth="1" style="88" min="14349" max="14592"/>
    <col width="2" customWidth="1" style="88" min="14593" max="14593"/>
    <col width="5.85546875" customWidth="1" style="88" min="14594" max="14594"/>
    <col width="38.5703125" customWidth="1" style="88" min="14595" max="14595"/>
    <col width="10" customWidth="1" style="88" min="14596" max="14596"/>
    <col width="21.5703125" customWidth="1" style="88" min="14597" max="14597"/>
    <col width="22.7109375" customWidth="1" style="88" min="14598" max="14598"/>
    <col width="0.28515625" customWidth="1" style="88" min="14599" max="14599"/>
    <col hidden="1" width="13" customWidth="1" style="88" min="14600" max="14600"/>
    <col width="9.140625" customWidth="1" style="88" min="14601" max="14603"/>
    <col width="14.140625" customWidth="1" style="88" min="14604" max="14604"/>
    <col width="9.140625" customWidth="1" style="88" min="14605" max="14848"/>
    <col width="2" customWidth="1" style="88" min="14849" max="14849"/>
    <col width="5.85546875" customWidth="1" style="88" min="14850" max="14850"/>
    <col width="38.5703125" customWidth="1" style="88" min="14851" max="14851"/>
    <col width="10" customWidth="1" style="88" min="14852" max="14852"/>
    <col width="21.5703125" customWidth="1" style="88" min="14853" max="14853"/>
    <col width="22.7109375" customWidth="1" style="88" min="14854" max="14854"/>
    <col width="0.28515625" customWidth="1" style="88" min="14855" max="14855"/>
    <col hidden="1" width="13" customWidth="1" style="88" min="14856" max="14856"/>
    <col width="9.140625" customWidth="1" style="88" min="14857" max="14859"/>
    <col width="14.140625" customWidth="1" style="88" min="14860" max="14860"/>
    <col width="9.140625" customWidth="1" style="88" min="14861" max="15104"/>
    <col width="2" customWidth="1" style="88" min="15105" max="15105"/>
    <col width="5.85546875" customWidth="1" style="88" min="15106" max="15106"/>
    <col width="38.5703125" customWidth="1" style="88" min="15107" max="15107"/>
    <col width="10" customWidth="1" style="88" min="15108" max="15108"/>
    <col width="21.5703125" customWidth="1" style="88" min="15109" max="15109"/>
    <col width="22.7109375" customWidth="1" style="88" min="15110" max="15110"/>
    <col width="0.28515625" customWidth="1" style="88" min="15111" max="15111"/>
    <col hidden="1" width="13" customWidth="1" style="88" min="15112" max="15112"/>
    <col width="9.140625" customWidth="1" style="88" min="15113" max="15115"/>
    <col width="14.140625" customWidth="1" style="88" min="15116" max="15116"/>
    <col width="9.140625" customWidth="1" style="88" min="15117" max="15360"/>
    <col width="2" customWidth="1" style="88" min="15361" max="15361"/>
    <col width="5.85546875" customWidth="1" style="88" min="15362" max="15362"/>
    <col width="38.5703125" customWidth="1" style="88" min="15363" max="15363"/>
    <col width="10" customWidth="1" style="88" min="15364" max="15364"/>
    <col width="21.5703125" customWidth="1" style="88" min="15365" max="15365"/>
    <col width="22.7109375" customWidth="1" style="88" min="15366" max="15366"/>
    <col width="0.28515625" customWidth="1" style="88" min="15367" max="15367"/>
    <col hidden="1" width="13" customWidth="1" style="88" min="15368" max="15368"/>
    <col width="9.140625" customWidth="1" style="88" min="15369" max="15371"/>
    <col width="14.140625" customWidth="1" style="88" min="15372" max="15372"/>
    <col width="9.140625" customWidth="1" style="88" min="15373" max="15616"/>
    <col width="2" customWidth="1" style="88" min="15617" max="15617"/>
    <col width="5.85546875" customWidth="1" style="88" min="15618" max="15618"/>
    <col width="38.5703125" customWidth="1" style="88" min="15619" max="15619"/>
    <col width="10" customWidth="1" style="88" min="15620" max="15620"/>
    <col width="21.5703125" customWidth="1" style="88" min="15621" max="15621"/>
    <col width="22.7109375" customWidth="1" style="88" min="15622" max="15622"/>
    <col width="0.28515625" customWidth="1" style="88" min="15623" max="15623"/>
    <col hidden="1" width="13" customWidth="1" style="88" min="15624" max="15624"/>
    <col width="9.140625" customWidth="1" style="88" min="15625" max="15627"/>
    <col width="14.140625" customWidth="1" style="88" min="15628" max="15628"/>
    <col width="9.140625" customWidth="1" style="88" min="15629" max="15872"/>
    <col width="2" customWidth="1" style="88" min="15873" max="15873"/>
    <col width="5.85546875" customWidth="1" style="88" min="15874" max="15874"/>
    <col width="38.5703125" customWidth="1" style="88" min="15875" max="15875"/>
    <col width="10" customWidth="1" style="88" min="15876" max="15876"/>
    <col width="21.5703125" customWidth="1" style="88" min="15877" max="15877"/>
    <col width="22.7109375" customWidth="1" style="88" min="15878" max="15878"/>
    <col width="0.28515625" customWidth="1" style="88" min="15879" max="15879"/>
    <col hidden="1" width="13" customWidth="1" style="88" min="15880" max="15880"/>
    <col width="9.140625" customWidth="1" style="88" min="15881" max="15883"/>
    <col width="14.140625" customWidth="1" style="88" min="15884" max="15884"/>
    <col width="9.140625" customWidth="1" style="88" min="15885" max="16128"/>
    <col width="2" customWidth="1" style="88" min="16129" max="16129"/>
    <col width="5.85546875" customWidth="1" style="88" min="16130" max="16130"/>
    <col width="38.5703125" customWidth="1" style="88" min="16131" max="16131"/>
    <col width="10" customWidth="1" style="88" min="16132" max="16132"/>
    <col width="21.5703125" customWidth="1" style="88" min="16133" max="16133"/>
    <col width="22.7109375" customWidth="1" style="88" min="16134" max="16134"/>
    <col width="0.28515625" customWidth="1" style="88" min="16135" max="16135"/>
    <col hidden="1" width="13" customWidth="1" style="88" min="16136" max="16136"/>
    <col width="9.140625" customWidth="1" style="88" min="16137" max="16139"/>
    <col width="14.140625" customWidth="1" style="88" min="16140" max="16140"/>
    <col width="9.140625" customWidth="1" style="88" min="16141" max="16384"/>
  </cols>
  <sheetData>
    <row r="1" ht="13.5" customHeight="1">
      <c r="B1" s="98" t="inlineStr">
        <is>
          <t>Исполнитель: ООО "ЯмалСпецЦентр"</t>
        </is>
      </c>
      <c r="C1" s="21" t="n"/>
      <c r="D1" s="8" t="n"/>
      <c r="E1" s="92" t="inlineStr">
        <is>
          <t>Заказчик: АО "Газпромнефть-ННГ"</t>
        </is>
      </c>
      <c r="F1" s="24" t="n"/>
    </row>
    <row r="2" ht="39" customFormat="1" customHeight="1" s="83">
      <c r="B2" s="84" t="inlineStr">
        <is>
          <t>Адрес: 629800, Автономный округ Ямало-Ненецкий, город Ноябрьск, Промзона  Юго-Восточный промузел,  
панель 1-А</t>
        </is>
      </c>
      <c r="E2" s="84" t="inlineStr">
        <is>
          <t>Адрес: 629807, Ямало-Ненецкий автономный округ , 
 г. Ноябрьск, ул. Ленина, д. 59/87</t>
        </is>
      </c>
      <c r="I2" s="16" t="n"/>
      <c r="J2" s="15" t="n"/>
    </row>
    <row r="3" ht="15.75" customFormat="1" customHeight="1" s="83">
      <c r="B3" s="98" t="inlineStr">
        <is>
          <t>ИНН: 8905050637</t>
        </is>
      </c>
      <c r="C3" s="22" t="n"/>
      <c r="E3" s="92" t="inlineStr">
        <is>
          <t>ИНН: 8905000428</t>
        </is>
      </c>
      <c r="F3" s="28" t="n"/>
      <c r="G3" s="15" t="n"/>
      <c r="H3" s="15" t="n"/>
      <c r="I3" s="16" t="n"/>
      <c r="J3" s="15" t="n"/>
    </row>
    <row r="4" ht="10.5" customFormat="1" customHeight="1" s="83">
      <c r="B4" s="98" t="inlineStr">
        <is>
          <t>КПП: 890501001</t>
        </is>
      </c>
      <c r="C4" s="22" t="n"/>
      <c r="D4" s="8" t="n"/>
      <c r="E4" s="92" t="inlineStr">
        <is>
          <t>КПП: 890501001</t>
        </is>
      </c>
      <c r="F4" s="17" t="n"/>
      <c r="G4" s="17" t="n"/>
      <c r="H4" s="17" t="n"/>
    </row>
    <row r="5" ht="13.5" customFormat="1" customHeight="1" s="83">
      <c r="B5" s="91" t="inlineStr">
        <is>
          <t>Банковские реквизиты: р/с 40702810500020010172 
в ф-ле № 6602 Банка ВТБ  (ПАО) г. Екатеринбург,  
к/с 30101810165770000501,  БИК 046577501; 
ОКПО 37991345;ОГРН 1118905006868</t>
        </is>
      </c>
      <c r="D5" s="84" t="n"/>
      <c r="E5" s="90" t="inlineStr">
        <is>
          <t xml:space="preserve">Банковские реквизиты: р/с 40702810100489000321  </t>
        </is>
      </c>
      <c r="G5" s="17" t="n"/>
      <c r="H5" s="17" t="n"/>
    </row>
    <row r="6" ht="45.75" customFormat="1" customHeight="1" s="83">
      <c r="D6" s="84" t="n"/>
      <c r="E6" s="85" t="inlineStr">
        <is>
          <t>Ф-л Банка"ГПБ" (АО) в г. Сургуте, к/с 30101810400000000721,
 ОКПО 05778425, БИК 047144721, ОГРН 10289007003963</t>
        </is>
      </c>
    </row>
    <row r="7" hidden="1" ht="21" customFormat="1" customHeight="1" s="83">
      <c r="B7" s="48" t="n"/>
      <c r="C7" s="48" t="n"/>
      <c r="D7" s="84" t="n"/>
      <c r="E7" s="85" t="n"/>
      <c r="F7" s="85" t="n"/>
      <c r="G7" s="85" t="n"/>
      <c r="H7" s="85" t="n"/>
      <c r="I7" s="85" t="n"/>
    </row>
    <row r="8" ht="6" customFormat="1" customHeight="1" s="83">
      <c r="B8" s="90" t="n"/>
      <c r="D8" s="23" t="n"/>
      <c r="E8" s="85" t="n"/>
      <c r="F8" s="26" t="n"/>
      <c r="G8" s="27" t="n"/>
      <c r="H8" s="27" t="n"/>
      <c r="I8" s="27" t="n"/>
      <c r="J8" s="23" t="n"/>
      <c r="K8" s="23" t="n"/>
    </row>
    <row r="9" ht="13.5" customFormat="1" customHeight="1" s="83">
      <c r="B9" s="90" t="n"/>
      <c r="D9" s="39" t="inlineStr">
        <is>
          <t>АКТ № 509</t>
        </is>
      </c>
      <c r="E9" s="85" t="n"/>
      <c r="F9" s="26" t="n"/>
      <c r="G9" s="27" t="n"/>
      <c r="H9" s="27" t="n"/>
      <c r="I9" s="27" t="n"/>
      <c r="J9" s="23" t="n"/>
      <c r="K9" s="23" t="n"/>
    </row>
    <row r="10" ht="20.25" customFormat="1" customHeight="1" s="83">
      <c r="B10" s="90" t="n"/>
      <c r="C10" s="29" t="n"/>
      <c r="D10" s="29" t="inlineStr">
        <is>
          <t>от "31"декабря 2017 г.</t>
        </is>
      </c>
      <c r="E10" s="30" t="n"/>
      <c r="F10" s="26" t="n"/>
      <c r="G10" s="27" t="n"/>
      <c r="H10" s="27" t="n"/>
      <c r="I10" s="27" t="n"/>
      <c r="J10" s="23" t="n"/>
      <c r="K10" s="23" t="n"/>
    </row>
    <row r="11" ht="13.5" customFormat="1" customHeight="1" s="83">
      <c r="B11" s="90" t="n"/>
      <c r="C11" s="30" t="n"/>
      <c r="D11" s="30" t="inlineStr">
        <is>
          <t>сдачи-приемки оказанных услуг за декабрь  2017 г.</t>
        </is>
      </c>
      <c r="E11" s="30" t="n"/>
      <c r="F11" s="26" t="n"/>
      <c r="G11" s="27" t="n"/>
      <c r="H11" s="27" t="n"/>
      <c r="I11" s="27" t="n"/>
      <c r="J11" s="23" t="n"/>
      <c r="K11" s="23" t="n"/>
    </row>
    <row r="12" ht="10.5" customFormat="1" customHeight="1" s="83">
      <c r="B12" s="90" t="n"/>
      <c r="C12" s="30" t="n"/>
      <c r="D12" s="30" t="n"/>
      <c r="E12" s="30" t="n"/>
      <c r="F12" s="26" t="n"/>
      <c r="G12" s="27" t="n"/>
      <c r="H12" s="27" t="n"/>
      <c r="I12" s="27" t="n"/>
      <c r="J12" s="23" t="n"/>
      <c r="K12" s="23" t="n"/>
    </row>
    <row r="13" ht="14.25" customFormat="1" customHeight="1" s="83">
      <c r="B13" s="31" t="inlineStr">
        <is>
          <t>составлен в том, что "Исполнитель" согласно договору №  ННГ-15/11301/00251/Р  от 22.10.2015 г.</t>
        </is>
      </c>
      <c r="C13" s="22" t="n"/>
      <c r="D13" s="22" t="n"/>
      <c r="E13" s="22" t="n"/>
      <c r="F13" s="22" t="n"/>
      <c r="G13" s="23" t="n"/>
      <c r="H13" s="23" t="n"/>
      <c r="I13" s="23" t="n"/>
      <c r="J13" s="23" t="n"/>
      <c r="K13" s="23" t="n"/>
    </row>
    <row r="14" customFormat="1" s="83">
      <c r="B14" s="31" t="inlineStr">
        <is>
          <t>оказал услуги для АО "Газпромнефть-ННГ"</t>
        </is>
      </c>
      <c r="C14" s="22" t="n"/>
      <c r="D14" s="22" t="n"/>
      <c r="E14" s="22" t="n"/>
      <c r="F14" s="22" t="n"/>
    </row>
    <row r="15" ht="2.25" customFormat="1" customHeight="1" s="83">
      <c r="B15" s="3" t="n"/>
      <c r="C15" s="8" t="n"/>
      <c r="D15" s="8" t="n"/>
    </row>
    <row r="16" ht="12.75" customHeight="1">
      <c r="B16" s="87" t="inlineStr">
        <is>
          <t>№ п\п</t>
        </is>
      </c>
      <c r="C16" s="87" t="inlineStr">
        <is>
          <t>Наименование услуги</t>
        </is>
      </c>
      <c r="D16" s="87" t="inlineStr">
        <is>
          <t>Кол-во оборудования ед</t>
        </is>
      </c>
      <c r="E16" s="87" t="inlineStr">
        <is>
          <t>Цена 
за ед., руб.</t>
        </is>
      </c>
      <c r="F16" s="87" t="inlineStr">
        <is>
          <t>Стоимость услуг
руб.</t>
        </is>
      </c>
      <c r="G16" s="87" t="n"/>
      <c r="J16" s="3" t="n"/>
    </row>
    <row r="17" ht="12.75" customHeight="1">
      <c r="G17" s="87" t="n"/>
      <c r="J17" s="3" t="n"/>
    </row>
    <row r="18" ht="27.75" customHeight="1">
      <c r="G18" s="87" t="n"/>
      <c r="J18" s="3" t="n"/>
    </row>
    <row r="19" ht="18" customHeight="1">
      <c r="B19" s="87" t="n">
        <v>1</v>
      </c>
      <c r="C19" s="87" t="n">
        <v>2</v>
      </c>
      <c r="D19" s="87" t="n">
        <v>3</v>
      </c>
      <c r="E19" s="87" t="n">
        <v>4</v>
      </c>
      <c r="F19" s="87" t="n">
        <v>5</v>
      </c>
      <c r="G19" s="87" t="n"/>
      <c r="J19" s="87" t="n"/>
    </row>
    <row r="20" ht="15.75" customHeight="1">
      <c r="B20" s="90" t="inlineStr">
        <is>
          <t>Западно-Ноябрьское, Средне-Итурское, Спорышевское месторождения</t>
        </is>
      </c>
      <c r="C20" s="87" t="n"/>
      <c r="D20" s="87" t="n"/>
      <c r="E20" s="87" t="n"/>
      <c r="F20" s="87" t="n"/>
      <c r="G20" s="87" t="n"/>
      <c r="J20" s="87" t="n"/>
    </row>
    <row r="21" ht="14.25" customHeight="1">
      <c r="B21" s="88" t="inlineStr">
        <is>
          <t>Сервисное обслуживание</t>
        </is>
      </c>
      <c r="C21" s="41" t="n"/>
      <c r="D21" s="87" t="n"/>
      <c r="E21" s="8" t="n"/>
      <c r="F21" s="87" t="n"/>
    </row>
    <row r="22" ht="15" customHeight="1">
      <c r="B22" s="87" t="n">
        <v>1</v>
      </c>
      <c r="C22" s="84" t="inlineStr">
        <is>
          <t>Насос 12НА9/4; 12НА22/6</t>
        </is>
      </c>
      <c r="D22" s="45" t="n"/>
      <c r="E22" s="45" t="n">
        <v>1300.55</v>
      </c>
      <c r="F22" s="87">
        <f>E22*D22</f>
        <v/>
      </c>
    </row>
    <row r="23" ht="15" customHeight="1">
      <c r="B23" s="87" t="n">
        <v>2</v>
      </c>
      <c r="C23" s="84" t="inlineStr">
        <is>
          <t>Насос дозировочный типа ДП,НД</t>
        </is>
      </c>
      <c r="D23" s="87" t="n"/>
      <c r="E23" s="87" t="n">
        <v>1388.2</v>
      </c>
      <c r="F23" s="87">
        <f>E23*D23</f>
        <v/>
      </c>
    </row>
    <row r="24" ht="21" customHeight="1">
      <c r="B24" s="87" t="n">
        <v>3</v>
      </c>
      <c r="C24" s="84" t="inlineStr">
        <is>
          <t>Насос НВ 50/50; НВ 50/80; НВЕ 50/50; НВЕ 50/80</t>
        </is>
      </c>
      <c r="D24" s="87" t="n"/>
      <c r="E24" s="87" t="n">
        <v>1022.97</v>
      </c>
      <c r="F24" s="87">
        <f>E24*D24</f>
        <v/>
      </c>
    </row>
    <row r="25" ht="15" customHeight="1">
      <c r="B25" s="87" t="n">
        <v>4</v>
      </c>
      <c r="C25" s="84" t="inlineStr">
        <is>
          <t>Насос ЦНС-300/120…600</t>
        </is>
      </c>
      <c r="D25" s="87" t="n"/>
      <c r="E25" s="87" t="n">
        <v>13437.21</v>
      </c>
      <c r="F25" s="87">
        <f>E25*D25</f>
        <v/>
      </c>
    </row>
    <row r="26" ht="15" customHeight="1">
      <c r="B26" s="87" t="n">
        <v>5</v>
      </c>
      <c r="C26" s="84" t="inlineStr">
        <is>
          <t>Насос ЦНС-38/44…220</t>
        </is>
      </c>
      <c r="D26" s="87" t="n"/>
      <c r="E26" s="87" t="n">
        <v>6070.81</v>
      </c>
      <c r="F26" s="87">
        <f>E26*D26</f>
        <v/>
      </c>
    </row>
    <row r="27" ht="18.75" customHeight="1">
      <c r="B27" s="87" t="n">
        <v>6</v>
      </c>
      <c r="C27" s="84" t="inlineStr">
        <is>
          <t>Насос 1Д630/90</t>
        </is>
      </c>
      <c r="D27" s="87" t="n"/>
      <c r="E27" s="87" t="n">
        <v>4773.79</v>
      </c>
      <c r="F27" s="87">
        <f>E27*D27</f>
        <v/>
      </c>
    </row>
    <row r="28" ht="45.75" customHeight="1">
      <c r="B28" s="87" t="n">
        <v>7</v>
      </c>
      <c r="C28" s="84" t="inlineStr">
        <is>
          <t>Насос К 8-18; К 20-30; К 50-30;К 65-50-160; К 65-40-100; К 65-50-160; К 80-50-200; КМН 80-65-175; К 100-80-160; К 100-65-200; КМ 160-65-200; 3Т13Н</t>
        </is>
      </c>
      <c r="D28" s="45" t="n"/>
      <c r="E28" s="45" t="n">
        <v>778.17</v>
      </c>
      <c r="F28" s="87">
        <f>E28*D28</f>
        <v/>
      </c>
    </row>
    <row r="29" ht="15" customHeight="1">
      <c r="B29" s="87" t="n">
        <v>8</v>
      </c>
      <c r="C29" s="84" t="inlineStr">
        <is>
          <t>Насос НМШ 5/25</t>
        </is>
      </c>
      <c r="D29" s="45" t="n"/>
      <c r="E29" s="45" t="n">
        <v>576.9</v>
      </c>
      <c r="F29" s="87">
        <f>E29*D29</f>
        <v/>
      </c>
    </row>
    <row r="30" ht="15" customHeight="1">
      <c r="B30" s="87" t="n">
        <v>9</v>
      </c>
      <c r="C30" s="84" t="inlineStr">
        <is>
          <t>Насос 1Д630/125</t>
        </is>
      </c>
      <c r="D30" s="87" t="n"/>
      <c r="E30" s="87" t="n">
        <v>4773.79</v>
      </c>
      <c r="F30" s="87">
        <f>E30*D30</f>
        <v/>
      </c>
    </row>
    <row r="31" ht="15" customHeight="1">
      <c r="B31" s="87" t="n">
        <v>10</v>
      </c>
      <c r="C31" s="84" t="inlineStr">
        <is>
          <t>Насос АХП 45/31</t>
        </is>
      </c>
      <c r="D31" s="45" t="n"/>
      <c r="E31" s="45" t="n">
        <v>969.65</v>
      </c>
      <c r="F31" s="87">
        <f>E31*D31</f>
        <v/>
      </c>
    </row>
    <row r="32" ht="15" customHeight="1">
      <c r="B32" s="87" t="n">
        <v>11</v>
      </c>
      <c r="C32" s="84" t="inlineStr">
        <is>
          <t>Насос дозировочный типа PAX 32/12; PIAX 32/28</t>
        </is>
      </c>
      <c r="D32" s="45" t="n"/>
      <c r="E32" s="45" t="n">
        <v>2321.79</v>
      </c>
      <c r="F32" s="87" t="n"/>
    </row>
    <row r="33" ht="15" customHeight="1">
      <c r="B33" s="87" t="n">
        <v>12</v>
      </c>
      <c r="C33" s="84" t="inlineStr">
        <is>
          <t>Насос НМШ 8/25</t>
        </is>
      </c>
      <c r="D33" s="45" t="n"/>
      <c r="E33" s="45" t="n">
        <v>576.9</v>
      </c>
      <c r="F33" s="87" t="n"/>
    </row>
    <row r="34" ht="15" customHeight="1">
      <c r="B34" s="87" t="n">
        <v>13</v>
      </c>
      <c r="C34" s="84" t="inlineStr">
        <is>
          <t>Насос ЦВК 6,3/160</t>
        </is>
      </c>
      <c r="D34" s="45" t="n"/>
      <c r="E34" s="45" t="n">
        <v>1210.41</v>
      </c>
      <c r="F34" s="87" t="n"/>
    </row>
    <row r="35" ht="15" customHeight="1">
      <c r="B35" s="87" t="n">
        <v>14</v>
      </c>
      <c r="C35" s="84" t="inlineStr">
        <is>
          <t>Насос ЦНС 40/1400</t>
        </is>
      </c>
      <c r="D35" s="45" t="n"/>
      <c r="E35" s="45" t="n">
        <v>17894.24</v>
      </c>
      <c r="F35" s="87" t="n"/>
    </row>
    <row r="36" ht="15" customHeight="1">
      <c r="B36" s="87" t="n">
        <v>15</v>
      </c>
      <c r="C36" s="84" t="inlineStr">
        <is>
          <t>Насос ЦГ 6,3/32</t>
        </is>
      </c>
      <c r="D36" s="45" t="n"/>
      <c r="E36" s="45" t="n">
        <v>2017.99</v>
      </c>
      <c r="F36" s="87" t="n"/>
    </row>
    <row r="37" ht="15" customHeight="1">
      <c r="B37" s="87" t="n">
        <v>16</v>
      </c>
      <c r="C37" s="84" t="inlineStr">
        <is>
          <t>Насос ЦНС-105/98…490</t>
        </is>
      </c>
      <c r="D37" s="45" t="n"/>
      <c r="E37" s="45" t="n">
        <v>11244.09</v>
      </c>
      <c r="F37" s="87" t="n"/>
    </row>
    <row r="38" ht="15" customHeight="1">
      <c r="B38" s="87" t="n">
        <v>17</v>
      </c>
      <c r="C38" s="84" t="inlineStr">
        <is>
          <t>Насос НПВ  1250/60</t>
        </is>
      </c>
      <c r="D38" s="45" t="n"/>
      <c r="E38" s="45" t="n">
        <v>7812.42</v>
      </c>
      <c r="F38" s="87" t="n"/>
    </row>
    <row r="39" ht="15" customHeight="1">
      <c r="B39" s="87" t="n">
        <v>18</v>
      </c>
      <c r="C39" s="84" t="inlineStr">
        <is>
          <t>Насос ЦНС 180/1422...1900 2 ТМ</t>
        </is>
      </c>
      <c r="D39" s="45" t="n"/>
      <c r="E39" s="45" t="n">
        <v>17894.24</v>
      </c>
      <c r="F39" s="87" t="n"/>
    </row>
    <row r="40" ht="15" customHeight="1">
      <c r="B40" s="87" t="n">
        <v>19</v>
      </c>
      <c r="C40" s="84" t="inlineStr">
        <is>
          <t>Насос ЦНС 240/1422…1900 ЗК</t>
        </is>
      </c>
      <c r="D40" s="45" t="n"/>
      <c r="E40" s="45" t="n">
        <v>16393.97</v>
      </c>
      <c r="F40" s="87" t="n"/>
    </row>
    <row r="41" ht="15" customHeight="1">
      <c r="B41" s="87" t="n">
        <v>20</v>
      </c>
      <c r="C41" s="84" t="inlineStr">
        <is>
          <t>Насос ЦНС-180/1422…1900</t>
        </is>
      </c>
      <c r="D41" s="45" t="n"/>
      <c r="E41" s="45" t="n">
        <v>17894.24</v>
      </c>
      <c r="F41" s="87" t="n"/>
    </row>
    <row r="42" ht="15" customHeight="1">
      <c r="B42" s="87" t="n">
        <v>21</v>
      </c>
      <c r="C42" s="84" t="inlineStr">
        <is>
          <t>Насос ЦНС 240/1422...1900 2 ТМ</t>
        </is>
      </c>
      <c r="D42" s="45" t="n"/>
      <c r="E42" s="45" t="n">
        <v>41616.5</v>
      </c>
      <c r="F42" s="87" t="n"/>
    </row>
    <row r="43" ht="15" customHeight="1">
      <c r="B43" s="87" t="n">
        <v>22</v>
      </c>
      <c r="C43" s="84" t="inlineStr">
        <is>
          <t>Насос ВКС 2/26</t>
        </is>
      </c>
      <c r="D43" s="45" t="n"/>
      <c r="E43" s="45" t="n">
        <v>863.15</v>
      </c>
      <c r="F43" s="87" t="n"/>
    </row>
    <row r="44" ht="15" customHeight="1">
      <c r="B44" s="87" t="n">
        <v>23</v>
      </c>
      <c r="C44" s="84" t="inlineStr">
        <is>
          <t>Насос 1Д200/90; 4Д200/90; 1Д250/125</t>
        </is>
      </c>
      <c r="D44" s="45" t="n"/>
      <c r="E44" s="45" t="n">
        <v>4773.79</v>
      </c>
      <c r="F44" s="87" t="n"/>
    </row>
    <row r="45" ht="15" customHeight="1">
      <c r="B45" s="87" t="n">
        <v>24</v>
      </c>
      <c r="C45" s="84" t="inlineStr">
        <is>
          <t>Насос ЦНС-60/66…330</t>
        </is>
      </c>
      <c r="D45" s="45" t="n"/>
      <c r="E45" s="45" t="n">
        <v>7879.33</v>
      </c>
      <c r="F45" s="87" t="n"/>
    </row>
    <row r="46" ht="15" customHeight="1">
      <c r="B46" s="87" t="n">
        <v>25</v>
      </c>
      <c r="C46" s="84" t="inlineStr">
        <is>
          <t xml:space="preserve"> Насос 1Д315/71; 1Д320/70</t>
        </is>
      </c>
      <c r="D46" s="45" t="n"/>
      <c r="E46" s="45" t="n">
        <v>4773.79</v>
      </c>
      <c r="F46" s="87" t="n"/>
    </row>
    <row r="47" ht="15" customHeight="1">
      <c r="B47" s="87" t="n">
        <v>26</v>
      </c>
      <c r="C47" s="84" t="inlineStr">
        <is>
          <t>Насос НВД 50/50; НВД 50/80; НВД 35/90</t>
        </is>
      </c>
      <c r="D47" s="45" t="n"/>
      <c r="E47" s="45" t="n">
        <v>1332.63</v>
      </c>
      <c r="F47" s="87" t="n"/>
    </row>
    <row r="48" ht="15" customHeight="1">
      <c r="B48" s="87" t="n">
        <v>27</v>
      </c>
      <c r="C48" s="84" t="inlineStr">
        <is>
          <t>Насос 1Д1250/90-125</t>
        </is>
      </c>
      <c r="D48" s="45" t="n"/>
      <c r="E48" s="45" t="n">
        <v>5292.31</v>
      </c>
      <c r="F48" s="87" t="n"/>
    </row>
    <row r="49" ht="15" customHeight="1">
      <c r="B49" s="87" t="n">
        <v>28</v>
      </c>
      <c r="C49" s="84" t="inlineStr">
        <is>
          <t>Насос ЦНС-180/85…425</t>
        </is>
      </c>
      <c r="D49" s="45" t="n"/>
      <c r="E49" s="45" t="n">
        <v>11898.95</v>
      </c>
      <c r="F49" s="87" t="n"/>
    </row>
    <row r="50" ht="15" customHeight="1">
      <c r="B50" s="87" t="n">
        <v>29</v>
      </c>
      <c r="C50" s="84" t="inlineStr">
        <is>
          <t>Насос ЦНС 240/1900 3ТМ</t>
        </is>
      </c>
      <c r="D50" s="45" t="n"/>
      <c r="E50" s="45" t="n">
        <v>44289.38</v>
      </c>
      <c r="F50" s="87" t="n"/>
    </row>
    <row r="51" ht="15" customHeight="1">
      <c r="B51" s="87" t="n">
        <v>30</v>
      </c>
      <c r="C51" s="84" t="inlineStr">
        <is>
          <t>Насос BUL 6,3/64</t>
        </is>
      </c>
      <c r="D51" s="45" t="n"/>
      <c r="E51" s="45" t="n">
        <v>639.91</v>
      </c>
      <c r="F51" s="87" t="n"/>
    </row>
    <row r="52" ht="15" customHeight="1">
      <c r="B52" s="87" t="n">
        <v>31</v>
      </c>
      <c r="C52" s="84" t="inlineStr">
        <is>
          <t>Насос 200Д90(200Д/60)</t>
        </is>
      </c>
      <c r="D52" s="45" t="n"/>
      <c r="E52" s="45" t="n">
        <v>3722.29</v>
      </c>
      <c r="F52" s="87" t="n"/>
    </row>
    <row r="53" ht="25.5" customHeight="1">
      <c r="B53" s="87" t="n">
        <v>32</v>
      </c>
      <c r="C53" s="84" t="inlineStr">
        <is>
          <t>Насос KRGH 80/315;KRGH 200/500; KRGH 125/80/315</t>
        </is>
      </c>
      <c r="D53" s="45" t="n"/>
      <c r="E53" s="45" t="n">
        <v>4297.48</v>
      </c>
      <c r="F53" s="87" t="n"/>
    </row>
    <row r="54" ht="15" customHeight="1">
      <c r="B54" s="87" t="n">
        <v>33</v>
      </c>
      <c r="C54" s="84" t="inlineStr">
        <is>
          <t>Насос ГХИ 6,3/32</t>
        </is>
      </c>
      <c r="D54" s="45" t="n"/>
      <c r="E54" s="45" t="n">
        <v>2017.99</v>
      </c>
      <c r="F54" s="87" t="n"/>
    </row>
    <row r="55" ht="15" customHeight="1">
      <c r="B55" s="87" t="n">
        <v>34</v>
      </c>
      <c r="C55" s="84" t="inlineStr">
        <is>
          <t>Насос ЦНС 180/1422…1900 ЗК</t>
        </is>
      </c>
      <c r="D55" s="45" t="n"/>
      <c r="E55" s="45" t="n">
        <v>16393.97</v>
      </c>
      <c r="F55" s="87" t="n"/>
    </row>
    <row r="56" ht="15" customHeight="1">
      <c r="B56" s="87" t="n">
        <v>35</v>
      </c>
      <c r="C56" s="50" t="inlineStr">
        <is>
          <t>Насос 1Д500/63б</t>
        </is>
      </c>
      <c r="D56" s="45" t="n"/>
      <c r="E56" s="45" t="n">
        <v>4773.79</v>
      </c>
      <c r="F56" s="87">
        <f>E56*D56</f>
        <v/>
      </c>
    </row>
    <row r="57" ht="12.75" customHeight="1">
      <c r="B57" s="87" t="n">
        <v>36</v>
      </c>
      <c r="C57" s="51" t="inlineStr">
        <is>
          <t>Насос CRE20-01 G-F-A-E-HQQE</t>
        </is>
      </c>
      <c r="D57" s="45" t="n"/>
      <c r="E57" s="45" t="n">
        <v>5556.93</v>
      </c>
      <c r="F57" s="87">
        <f>E57*D57</f>
        <v/>
      </c>
    </row>
    <row r="58" ht="15" customHeight="1">
      <c r="B58" s="87" t="n">
        <v>37</v>
      </c>
      <c r="C58" s="50" t="inlineStr">
        <is>
          <t>Насос CR15-02 A-F-A-E-HQQE</t>
        </is>
      </c>
      <c r="D58" s="45" t="n"/>
      <c r="E58" s="45" t="n">
        <v>5556.93</v>
      </c>
      <c r="F58" s="87">
        <f>E58*D58</f>
        <v/>
      </c>
    </row>
    <row r="59" ht="15" customHeight="1">
      <c r="B59" s="87" t="n">
        <v>38</v>
      </c>
      <c r="C59" s="51" t="inlineStr">
        <is>
          <t>Насос ЦНС 180-1422...1900 3 ТМ</t>
        </is>
      </c>
      <c r="D59" s="87" t="n"/>
      <c r="E59" s="87" t="n">
        <v>41616.5</v>
      </c>
      <c r="F59" s="87">
        <f>E59*D59</f>
        <v/>
      </c>
    </row>
    <row r="60" ht="15" customHeight="1">
      <c r="B60" s="87" t="n">
        <v>39</v>
      </c>
      <c r="C60" s="51" t="inlineStr">
        <is>
          <t>Насос ЦНС 63-1422...1900 2 ТМ</t>
        </is>
      </c>
      <c r="D60" s="87" t="n"/>
      <c r="E60" s="87" t="n">
        <v>41616.5</v>
      </c>
      <c r="F60" s="87">
        <f>E60*D60</f>
        <v/>
      </c>
    </row>
    <row r="61" ht="15" customHeight="1">
      <c r="B61" s="87" t="n">
        <v>40</v>
      </c>
      <c r="C61" s="51" t="inlineStr">
        <is>
          <t>Насос ЦНС 13-70... 350</t>
        </is>
      </c>
      <c r="D61" s="87" t="n"/>
      <c r="E61" s="87" t="n">
        <v>6070.81</v>
      </c>
      <c r="F61" s="87">
        <f>E61*D61</f>
        <v/>
      </c>
    </row>
    <row r="62" ht="15" customHeight="1">
      <c r="B62" s="87" t="n">
        <v>41</v>
      </c>
      <c r="C62" s="51" t="inlineStr">
        <is>
          <t>Насос ЦНС 300/1422…1900</t>
        </is>
      </c>
      <c r="D62" s="45" t="n"/>
      <c r="E62" s="45" t="n">
        <v>45915.64</v>
      </c>
      <c r="F62" s="87">
        <f>E62*D62</f>
        <v/>
      </c>
    </row>
    <row r="63" ht="12.75" customHeight="1">
      <c r="B63" s="87" t="n">
        <v>42</v>
      </c>
      <c r="C63" s="51" t="inlineStr">
        <is>
          <t>Насос ЦНС 310/1422…1900</t>
        </is>
      </c>
      <c r="D63" s="45" t="n"/>
      <c r="E63" s="45" t="n">
        <v>45915.64</v>
      </c>
      <c r="F63" s="87">
        <f>E63*D63</f>
        <v/>
      </c>
    </row>
    <row r="64" ht="14.25" customHeight="1">
      <c r="B64" s="87" t="n"/>
      <c r="C64" s="84" t="inlineStr">
        <is>
          <t>ИТОГО</t>
        </is>
      </c>
      <c r="D64" s="45" t="n"/>
      <c r="E64" s="45" t="n"/>
      <c r="F64" s="87">
        <f>SUM(F22:F63)</f>
        <v/>
      </c>
      <c r="I64" s="88">
        <f>F64-H64</f>
        <v/>
      </c>
      <c r="J64" s="88">
        <f>I64-[1]Лот2!$AN$4</f>
        <v/>
      </c>
    </row>
    <row r="65" ht="15.75" customHeight="1">
      <c r="B65" s="86" t="inlineStr">
        <is>
          <t>Текущий ремонт</t>
        </is>
      </c>
      <c r="C65" s="84" t="n"/>
      <c r="D65" s="87" t="n"/>
      <c r="E65" s="87" t="n"/>
      <c r="F65" s="87" t="n"/>
    </row>
    <row r="66" ht="15" customHeight="1">
      <c r="B66" s="87" t="inlineStr">
        <is>
          <t>1</t>
        </is>
      </c>
      <c r="C66" s="52" t="inlineStr">
        <is>
          <t>Насос 12НА9/4; 12НА22/6</t>
        </is>
      </c>
      <c r="D66" s="45" t="n"/>
      <c r="E66" s="45" t="n">
        <v>29291.24</v>
      </c>
      <c r="F66" s="18">
        <f>E66*D66</f>
        <v/>
      </c>
    </row>
    <row r="67" ht="15" customHeight="1">
      <c r="B67" s="87" t="inlineStr">
        <is>
          <t>2</t>
        </is>
      </c>
      <c r="C67" s="52" t="inlineStr">
        <is>
          <t>Насос дозировочный типа ДП;НД</t>
        </is>
      </c>
      <c r="D67" s="45" t="n"/>
      <c r="E67" s="45" t="n">
        <v>15787.94</v>
      </c>
      <c r="F67" s="18" t="n"/>
    </row>
    <row r="68" ht="20.25" customHeight="1">
      <c r="B68" s="87" t="inlineStr">
        <is>
          <t>3</t>
        </is>
      </c>
      <c r="C68" s="52" t="inlineStr">
        <is>
          <t>Насос НВ 50/50; НВ 50/80; НВЕ 50/50; НВЕ 50/80</t>
        </is>
      </c>
      <c r="D68" s="45" t="n"/>
      <c r="E68" s="45" t="n">
        <v>27574.87</v>
      </c>
      <c r="F68" s="18" t="n"/>
    </row>
    <row r="69" ht="15" customHeight="1">
      <c r="B69" s="87" t="inlineStr">
        <is>
          <t>4</t>
        </is>
      </c>
      <c r="C69" s="46" t="inlineStr">
        <is>
          <t>Насос ЦНС-300/120…600</t>
        </is>
      </c>
      <c r="D69" s="45" t="n"/>
      <c r="E69" s="45" t="n">
        <v>74329.23</v>
      </c>
      <c r="F69" s="18" t="n"/>
    </row>
    <row r="70" ht="15" customHeight="1">
      <c r="B70" s="87" t="inlineStr">
        <is>
          <t>5</t>
        </is>
      </c>
      <c r="C70" s="52" t="inlineStr">
        <is>
          <t>Насос 1Д 630/90</t>
        </is>
      </c>
      <c r="D70" s="45" t="n"/>
      <c r="E70" s="45" t="n">
        <v>28225.99</v>
      </c>
      <c r="F70" s="18" t="n"/>
    </row>
    <row r="71" ht="38.25" customHeight="1">
      <c r="B71" s="87" t="inlineStr">
        <is>
          <t>6</t>
        </is>
      </c>
      <c r="C71" s="52" t="inlineStr">
        <is>
          <t>Насос К 65-50-160; К 65-40-100; К 65-50-160; К 80-50-200; КМН 80-65-175, К 100-80-160;К 100-65-200, КМ 160-65-200, 3Т13Н</t>
        </is>
      </c>
      <c r="D71" s="45" t="n"/>
      <c r="E71" s="45" t="n">
        <v>9378.790000000001</v>
      </c>
      <c r="F71" s="18" t="n"/>
    </row>
    <row r="72" ht="15" customHeight="1">
      <c r="B72" s="87" t="inlineStr">
        <is>
          <t>7</t>
        </is>
      </c>
      <c r="C72" s="46" t="inlineStr">
        <is>
          <t>Насос НМШ 5/25</t>
        </is>
      </c>
      <c r="D72" s="45" t="n"/>
      <c r="E72" s="45" t="n">
        <v>5822.33</v>
      </c>
      <c r="F72" s="18" t="n"/>
    </row>
    <row r="73" ht="15" customHeight="1">
      <c r="B73" s="87" t="inlineStr">
        <is>
          <t>8</t>
        </is>
      </c>
      <c r="C73" s="52" t="inlineStr">
        <is>
          <t>Насос 1Д 630/125</t>
        </is>
      </c>
      <c r="D73" s="45" t="n"/>
      <c r="E73" s="45" t="n">
        <v>28234.46</v>
      </c>
      <c r="F73" s="18" t="n"/>
    </row>
    <row r="74" ht="15" customHeight="1">
      <c r="B74" s="87" t="inlineStr">
        <is>
          <t>9</t>
        </is>
      </c>
      <c r="C74" s="53" t="inlineStr">
        <is>
          <t>Насос АХП 45/31</t>
        </is>
      </c>
      <c r="D74" s="45" t="n"/>
      <c r="E74" s="45" t="n">
        <v>27517.82</v>
      </c>
      <c r="F74" s="18" t="n"/>
    </row>
    <row r="75" ht="15" customHeight="1">
      <c r="B75" s="87" t="inlineStr">
        <is>
          <t>10</t>
        </is>
      </c>
      <c r="C75" s="52" t="inlineStr">
        <is>
          <t>Насос дозировочный типа PAX 32/12; PIAX 32/28</t>
        </is>
      </c>
      <c r="D75" s="45" t="n"/>
      <c r="E75" s="45" t="n">
        <v>15344.06</v>
      </c>
      <c r="F75" s="18" t="n"/>
    </row>
    <row r="76" ht="15" customHeight="1">
      <c r="B76" s="87" t="inlineStr">
        <is>
          <t>11</t>
        </is>
      </c>
      <c r="C76" s="46" t="inlineStr">
        <is>
          <t>Насос НМШ 8/25</t>
        </is>
      </c>
      <c r="D76" s="45" t="n"/>
      <c r="E76" s="45" t="n">
        <v>5822.33</v>
      </c>
      <c r="F76" s="18" t="n"/>
    </row>
    <row r="77" ht="15" customHeight="1">
      <c r="B77" s="87" t="inlineStr">
        <is>
          <t>12</t>
        </is>
      </c>
      <c r="C77" s="52" t="inlineStr">
        <is>
          <t>Насос ЦВК 6,3/160</t>
        </is>
      </c>
      <c r="D77" s="45" t="n"/>
      <c r="E77" s="45" t="n">
        <v>8167.87</v>
      </c>
      <c r="F77" s="18" t="n"/>
    </row>
    <row r="78" ht="15" customHeight="1">
      <c r="B78" s="87" t="inlineStr">
        <is>
          <t>13</t>
        </is>
      </c>
      <c r="C78" s="52" t="inlineStr">
        <is>
          <t>Насос ЦНС 40/1400</t>
        </is>
      </c>
      <c r="D78" s="45" t="n"/>
      <c r="E78" s="45" t="n">
        <v>142528.98</v>
      </c>
      <c r="F78" s="18" t="n"/>
    </row>
    <row r="79" ht="15" customHeight="1">
      <c r="B79" s="87" t="inlineStr">
        <is>
          <t>14</t>
        </is>
      </c>
      <c r="C79" s="52" t="inlineStr">
        <is>
          <t>Насос ЦГ 6,3/32</t>
        </is>
      </c>
      <c r="D79" s="45" t="n"/>
      <c r="E79" s="45" t="n">
        <v>23941.23</v>
      </c>
      <c r="F79" s="18" t="n"/>
    </row>
    <row r="80" ht="15" customHeight="1">
      <c r="B80" s="87" t="inlineStr">
        <is>
          <t>15</t>
        </is>
      </c>
      <c r="C80" s="52" t="inlineStr">
        <is>
          <t>Насос ЦНС-105/98…490</t>
        </is>
      </c>
      <c r="D80" s="45" t="n"/>
      <c r="E80" s="45" t="n">
        <v>38289.2</v>
      </c>
      <c r="F80" s="18" t="n"/>
    </row>
    <row r="81" ht="15" customHeight="1">
      <c r="B81" s="87" t="inlineStr">
        <is>
          <t>16</t>
        </is>
      </c>
      <c r="C81" s="46" t="inlineStr">
        <is>
          <t>Насос НПВ  1250/60</t>
        </is>
      </c>
      <c r="D81" s="45" t="n"/>
      <c r="E81" s="45" t="n">
        <v>69627.92</v>
      </c>
      <c r="F81" s="18" t="n"/>
    </row>
    <row r="82" ht="15" customHeight="1">
      <c r="B82" s="87" t="inlineStr">
        <is>
          <t>17</t>
        </is>
      </c>
      <c r="C82" s="46" t="inlineStr">
        <is>
          <t>Насос ЦНС 180/1422...1900 2 ТМ</t>
        </is>
      </c>
      <c r="D82" s="45" t="n"/>
      <c r="E82" s="45" t="n">
        <v>142528.98</v>
      </c>
      <c r="F82" s="18" t="n"/>
    </row>
    <row r="83" ht="15" customHeight="1">
      <c r="B83" s="87" t="inlineStr">
        <is>
          <t>18</t>
        </is>
      </c>
      <c r="C83" s="46" t="inlineStr">
        <is>
          <t>Насос ЦНС 240/1422…1900 ЗК</t>
        </is>
      </c>
      <c r="D83" s="45" t="n"/>
      <c r="E83" s="45" t="n">
        <v>184847.66</v>
      </c>
      <c r="F83" s="18" t="n"/>
    </row>
    <row r="84" ht="15" customHeight="1">
      <c r="B84" s="87" t="inlineStr">
        <is>
          <t>19</t>
        </is>
      </c>
      <c r="C84" s="46" t="inlineStr">
        <is>
          <t>Насос ЦНС-180/1422…1900</t>
        </is>
      </c>
      <c r="D84" s="45" t="n"/>
      <c r="E84" s="45" t="n">
        <v>142528.98</v>
      </c>
      <c r="F84" s="18" t="n"/>
    </row>
    <row r="85" ht="15" customHeight="1">
      <c r="B85" s="87" t="inlineStr">
        <is>
          <t>20</t>
        </is>
      </c>
      <c r="C85" s="46" t="inlineStr">
        <is>
          <t>Насос ЦНС 240/1422...1900 2 ТМ</t>
        </is>
      </c>
      <c r="D85" s="45" t="n"/>
      <c r="E85" s="45" t="n">
        <v>229092.97</v>
      </c>
      <c r="F85" s="18" t="n"/>
    </row>
    <row r="86" ht="15" customHeight="1">
      <c r="B86" s="87" t="inlineStr">
        <is>
          <t>21</t>
        </is>
      </c>
      <c r="C86" s="52" t="inlineStr">
        <is>
          <t>Клапан СППК</t>
        </is>
      </c>
      <c r="D86" s="45" t="n"/>
      <c r="E86" s="45" t="n">
        <v>3016.82</v>
      </c>
      <c r="F86" s="18" t="n"/>
    </row>
    <row r="87" ht="12.75" customHeight="1">
      <c r="B87" s="87" t="inlineStr">
        <is>
          <t>22</t>
        </is>
      </c>
      <c r="C87" s="52" t="inlineStr">
        <is>
          <t>Сварочный агрегат АДД</t>
        </is>
      </c>
      <c r="D87" s="45" t="n"/>
      <c r="E87" s="45" t="n">
        <v>41529.66</v>
      </c>
      <c r="F87" s="18">
        <f>E87*D87</f>
        <v/>
      </c>
    </row>
    <row r="88" ht="12.75" customHeight="1">
      <c r="B88" s="87" t="inlineStr">
        <is>
          <t>23</t>
        </is>
      </c>
      <c r="C88" s="52" t="inlineStr">
        <is>
          <t>Насос ЦНС-60/66...330</t>
        </is>
      </c>
      <c r="D88" s="45" t="n"/>
      <c r="E88" s="45" t="n">
        <v>35544.81</v>
      </c>
      <c r="F88" s="18" t="n"/>
    </row>
    <row r="89" ht="12.75" customHeight="1">
      <c r="B89" s="87" t="inlineStr">
        <is>
          <t>24</t>
        </is>
      </c>
      <c r="C89" s="52" t="inlineStr">
        <is>
          <t>Насос ЦНС-38/44...220</t>
        </is>
      </c>
      <c r="D89" s="45" t="n"/>
      <c r="E89" s="45" t="n">
        <v>24720.68</v>
      </c>
      <c r="F89" s="18" t="n"/>
    </row>
    <row r="90" ht="12.75" customHeight="1">
      <c r="B90" s="87" t="inlineStr">
        <is>
          <t>25</t>
        </is>
      </c>
      <c r="C90" s="52" t="inlineStr">
        <is>
          <t>Насос 1Д200/90; 4Д200/90; 1Д250/125</t>
        </is>
      </c>
      <c r="D90" s="45" t="n"/>
      <c r="E90" s="45" t="n">
        <v>26583.48</v>
      </c>
      <c r="F90" s="18" t="n"/>
    </row>
    <row r="91" ht="12.75" customHeight="1">
      <c r="B91" s="87" t="inlineStr">
        <is>
          <t>26</t>
        </is>
      </c>
      <c r="C91" s="52" t="inlineStr">
        <is>
          <t>Насос ВКС 2/26</t>
        </is>
      </c>
      <c r="D91" s="45" t="n"/>
      <c r="E91" s="45" t="n">
        <v>6483.63</v>
      </c>
      <c r="F91" s="18" t="n"/>
    </row>
    <row r="92" ht="12.75" customHeight="1">
      <c r="B92" s="87" t="inlineStr">
        <is>
          <t>27</t>
        </is>
      </c>
      <c r="C92" s="52" t="inlineStr">
        <is>
          <t>ГПМ</t>
        </is>
      </c>
      <c r="D92" s="45" t="n"/>
      <c r="E92" s="45" t="n">
        <v>26207.27</v>
      </c>
      <c r="F92" s="18" t="n"/>
    </row>
    <row r="93" ht="12.75" customHeight="1">
      <c r="B93" s="87" t="inlineStr">
        <is>
          <t>28</t>
        </is>
      </c>
      <c r="C93" s="52" t="inlineStr">
        <is>
          <t xml:space="preserve"> Насос 1Д315/71; 1Д320/70</t>
        </is>
      </c>
      <c r="D93" s="45" t="n"/>
      <c r="E93" s="45" t="n">
        <v>26599.8</v>
      </c>
      <c r="F93" s="18" t="n"/>
    </row>
    <row r="94" ht="12.75" customHeight="1">
      <c r="B94" s="87" t="inlineStr">
        <is>
          <t>29</t>
        </is>
      </c>
      <c r="C94" s="52" t="inlineStr">
        <is>
          <t>Насос НВД 50/50; НВД 50/80; НВД 35/90</t>
        </is>
      </c>
      <c r="D94" s="45" t="n"/>
      <c r="E94" s="45" t="n">
        <v>29483.16</v>
      </c>
      <c r="F94" s="18" t="n"/>
    </row>
    <row r="95" ht="12.75" customHeight="1">
      <c r="B95" s="87" t="inlineStr">
        <is>
          <t>30</t>
        </is>
      </c>
      <c r="C95" s="52" t="inlineStr">
        <is>
          <t>Насос ЦНС-180/85…425</t>
        </is>
      </c>
      <c r="D95" s="45" t="n"/>
      <c r="E95" s="45" t="n">
        <v>42085.43</v>
      </c>
      <c r="F95" s="18" t="n"/>
    </row>
    <row r="96" ht="12.75" customHeight="1">
      <c r="B96" s="87" t="inlineStr">
        <is>
          <t>31</t>
        </is>
      </c>
      <c r="C96" s="52" t="inlineStr">
        <is>
          <t>Насос 1Д1250/90-125</t>
        </is>
      </c>
      <c r="D96" s="45" t="n"/>
      <c r="E96" s="45" t="n">
        <v>29345.26</v>
      </c>
      <c r="F96" s="18" t="n"/>
    </row>
    <row r="97" ht="12.75" customHeight="1">
      <c r="B97" s="87" t="inlineStr">
        <is>
          <t>32</t>
        </is>
      </c>
      <c r="C97" s="52" t="inlineStr">
        <is>
          <t>Насос ЦНС 240/1422...1900 3ТМ</t>
        </is>
      </c>
      <c r="D97" s="45" t="n"/>
      <c r="E97" s="45" t="n">
        <v>239043.85</v>
      </c>
      <c r="F97" s="18" t="n"/>
    </row>
    <row r="98" ht="12.75" customHeight="1">
      <c r="B98" s="87" t="n">
        <v>33</v>
      </c>
      <c r="C98" s="52" t="inlineStr">
        <is>
          <t>Насос KRGH 80/315;KRGH 200/500; KRGH 125/80/315</t>
        </is>
      </c>
      <c r="D98" s="45" t="n"/>
      <c r="E98" s="45" t="n">
        <v>34676.83</v>
      </c>
      <c r="F98" s="18" t="n"/>
    </row>
    <row r="99" ht="12.75" customHeight="1">
      <c r="B99" s="87" t="inlineStr">
        <is>
          <t>34</t>
        </is>
      </c>
      <c r="C99" s="52" t="inlineStr">
        <is>
          <t>Насос 200Д90; 200Д/60</t>
        </is>
      </c>
      <c r="D99" s="45" t="n"/>
      <c r="E99" s="45" t="n">
        <v>26367.1</v>
      </c>
      <c r="F99" s="18" t="n"/>
    </row>
    <row r="100" ht="12.75" customHeight="1">
      <c r="B100" s="87" t="inlineStr">
        <is>
          <t>35</t>
        </is>
      </c>
      <c r="C100" s="52" t="inlineStr">
        <is>
          <t>Насос BUL 6,3/64</t>
        </is>
      </c>
      <c r="D100" s="45" t="n"/>
      <c r="E100" s="45" t="n">
        <v>15573.23</v>
      </c>
      <c r="F100" s="18" t="n"/>
    </row>
    <row r="101" ht="18" customHeight="1">
      <c r="B101" s="87" t="inlineStr">
        <is>
          <t>36</t>
        </is>
      </c>
      <c r="C101" s="52" t="inlineStr">
        <is>
          <t>Насос НВД50/50; НВД 50/80; НВД35/90</t>
        </is>
      </c>
      <c r="D101" s="45" t="n"/>
      <c r="E101" s="45" t="n">
        <v>29483.16</v>
      </c>
      <c r="F101" s="18">
        <f>E101*D101</f>
        <v/>
      </c>
    </row>
    <row r="102" ht="15" customHeight="1">
      <c r="B102" s="87" t="inlineStr">
        <is>
          <t>37</t>
        </is>
      </c>
      <c r="C102" s="52" t="inlineStr">
        <is>
          <t>Насос ГХИ 6,3/32</t>
        </is>
      </c>
      <c r="D102" s="45" t="n"/>
      <c r="E102" s="45" t="n">
        <v>34632.75</v>
      </c>
      <c r="F102" s="18">
        <f>E102*D102</f>
        <v/>
      </c>
    </row>
    <row r="103" ht="15" customHeight="1">
      <c r="B103" s="87" t="inlineStr">
        <is>
          <t>38</t>
        </is>
      </c>
      <c r="C103" s="52" t="inlineStr">
        <is>
          <t>Насос ЦНС 180/1422…1900 ЗК</t>
        </is>
      </c>
      <c r="D103" s="45" t="n"/>
      <c r="E103" s="45" t="n">
        <v>184847.66</v>
      </c>
      <c r="F103" s="18">
        <f>E103*D103</f>
        <v/>
      </c>
    </row>
    <row r="104" ht="15" customHeight="1">
      <c r="B104" s="87" t="inlineStr">
        <is>
          <t>39</t>
        </is>
      </c>
      <c r="C104" s="50" t="inlineStr">
        <is>
          <t>Насос 1Д500/63б</t>
        </is>
      </c>
      <c r="D104" s="45" t="n"/>
      <c r="E104" s="45" t="n">
        <v>28234.46</v>
      </c>
      <c r="F104" s="18">
        <f>E104*D104</f>
        <v/>
      </c>
    </row>
    <row r="105" ht="12.75" customHeight="1">
      <c r="B105" s="87" t="inlineStr">
        <is>
          <t>40</t>
        </is>
      </c>
      <c r="C105" s="51" t="inlineStr">
        <is>
          <t>Насос CRE20-01 G-F-A-E-HQQE</t>
        </is>
      </c>
      <c r="D105" s="45" t="n"/>
      <c r="E105" s="45" t="n">
        <v>45229.17</v>
      </c>
      <c r="F105" s="18">
        <f>E105*D105</f>
        <v/>
      </c>
    </row>
    <row r="106" ht="15" customHeight="1">
      <c r="B106" s="87" t="inlineStr">
        <is>
          <t>41</t>
        </is>
      </c>
      <c r="C106" s="50" t="inlineStr">
        <is>
          <t>Насос CR15-02 A-F-A-E-HQQE</t>
        </is>
      </c>
      <c r="D106" s="45" t="n"/>
      <c r="E106" s="45" t="n">
        <v>45229.17</v>
      </c>
      <c r="F106" s="18">
        <f>E106*D106</f>
        <v/>
      </c>
    </row>
    <row r="107" ht="15" customHeight="1">
      <c r="B107" s="87" t="inlineStr">
        <is>
          <t>42</t>
        </is>
      </c>
      <c r="C107" s="51" t="inlineStr">
        <is>
          <t>Насос ЦНС 180-1422...1900 3 ТМ</t>
        </is>
      </c>
      <c r="D107" s="45" t="n"/>
      <c r="E107" s="45" t="n">
        <v>229092.97</v>
      </c>
      <c r="F107" s="18">
        <f>E107*D107</f>
        <v/>
      </c>
    </row>
    <row r="108" ht="15" customHeight="1">
      <c r="B108" s="87" t="inlineStr">
        <is>
          <t>43</t>
        </is>
      </c>
      <c r="C108" s="51" t="inlineStr">
        <is>
          <t>Насос ЦНС 63-1422...1900 2 ТМ</t>
        </is>
      </c>
      <c r="D108" s="45" t="n"/>
      <c r="E108" s="45" t="n">
        <v>229092.97</v>
      </c>
      <c r="F108" s="18">
        <f>ROUND(D108*E108,2)</f>
        <v/>
      </c>
    </row>
    <row r="109" ht="15" customHeight="1">
      <c r="B109" s="87" t="inlineStr">
        <is>
          <t>44</t>
        </is>
      </c>
      <c r="C109" s="51" t="inlineStr">
        <is>
          <t>Насос ЦНС 13-70... 350</t>
        </is>
      </c>
      <c r="D109" s="3" t="n"/>
      <c r="E109" s="3" t="n">
        <v>24720.68</v>
      </c>
      <c r="F109" s="18">
        <f>E109*D109</f>
        <v/>
      </c>
    </row>
    <row r="110" ht="15" customHeight="1">
      <c r="B110" s="87" t="inlineStr">
        <is>
          <t>45</t>
        </is>
      </c>
      <c r="C110" s="51" t="inlineStr">
        <is>
          <t>Насос ЦНС 300/1422…1900</t>
        </is>
      </c>
      <c r="D110" s="45" t="n"/>
      <c r="E110" s="45" t="n">
        <v>246230.71</v>
      </c>
      <c r="F110" s="18">
        <f>E110*D110</f>
        <v/>
      </c>
    </row>
    <row r="111" ht="15" customHeight="1">
      <c r="B111" s="87" t="inlineStr">
        <is>
          <t>46</t>
        </is>
      </c>
      <c r="C111" s="51" t="inlineStr">
        <is>
          <t>Насос ЦНС 310/1422…1900</t>
        </is>
      </c>
      <c r="D111" s="45" t="n"/>
      <c r="E111" s="45" t="n">
        <v>246230.71</v>
      </c>
      <c r="F111" s="18">
        <f>E111*D111</f>
        <v/>
      </c>
    </row>
    <row r="112" ht="14.25" customHeight="1">
      <c r="B112" s="87" t="n"/>
      <c r="C112" s="46" t="inlineStr">
        <is>
          <t>ИТОГО</t>
        </is>
      </c>
      <c r="D112" s="87" t="n"/>
      <c r="E112" s="87" t="n"/>
      <c r="F112" s="87">
        <f>SUM(F66:F111)</f>
        <v/>
      </c>
    </row>
    <row r="113" ht="15" customHeight="1">
      <c r="B113" s="83" t="inlineStr">
        <is>
          <t>Пуско-наладка насосного  оборудования</t>
        </is>
      </c>
      <c r="C113" s="84" t="n"/>
      <c r="D113" s="87" t="n"/>
      <c r="E113" s="87" t="n"/>
      <c r="F113" s="18" t="n"/>
      <c r="G113" s="87" t="n"/>
      <c r="H113" s="83" t="n"/>
      <c r="J113" s="88" t="n">
        <v>115488.03</v>
      </c>
    </row>
    <row r="114" ht="15" customHeight="1">
      <c r="B114" s="87" t="inlineStr">
        <is>
          <t>1</t>
        </is>
      </c>
      <c r="C114" s="52" t="inlineStr">
        <is>
          <t>Насос 12НА9/4, 12НА22/6</t>
        </is>
      </c>
      <c r="D114" s="87" t="n"/>
      <c r="E114" s="87" t="n">
        <v>8693.879999999999</v>
      </c>
      <c r="F114" s="18">
        <f>E114*D114</f>
        <v/>
      </c>
      <c r="G114" s="87" t="n"/>
      <c r="H114" s="83" t="n"/>
      <c r="J114" s="88" t="n">
        <v>20102.27</v>
      </c>
    </row>
    <row r="115" ht="15" customHeight="1">
      <c r="B115" s="87" t="inlineStr">
        <is>
          <t>2</t>
        </is>
      </c>
      <c r="C115" s="52" t="inlineStr">
        <is>
          <t>Насос дозировочный типа НД, ДП</t>
        </is>
      </c>
      <c r="D115" s="45" t="n"/>
      <c r="E115" s="45" t="n">
        <v>7898.48</v>
      </c>
      <c r="F115" s="18">
        <f>E115*D115</f>
        <v/>
      </c>
      <c r="G115" s="87" t="n"/>
      <c r="H115" s="83" t="n"/>
      <c r="J115" s="88" t="n">
        <v>1434.51</v>
      </c>
    </row>
    <row r="116" ht="25.5" customHeight="1">
      <c r="B116" s="87" t="inlineStr">
        <is>
          <t>3</t>
        </is>
      </c>
      <c r="C116" s="52" t="inlineStr">
        <is>
          <t>Насос НВ 50/50, НВ 50/80, НВЕ 50/50, НВЕ 50/80, ГХИ 6,3/32</t>
        </is>
      </c>
      <c r="D116" s="45" t="n"/>
      <c r="E116" s="45" t="n">
        <v>5912.22</v>
      </c>
      <c r="F116" s="18">
        <f>E116*D116</f>
        <v/>
      </c>
      <c r="G116" s="87" t="n"/>
      <c r="H116" s="83" t="n"/>
      <c r="J116" s="88" t="n">
        <v>8391.780000000001</v>
      </c>
    </row>
    <row r="117" ht="15" customHeight="1">
      <c r="B117" s="87" t="inlineStr">
        <is>
          <t>4</t>
        </is>
      </c>
      <c r="C117" s="46" t="inlineStr">
        <is>
          <t>Насос ЦНС-300/120…600</t>
        </is>
      </c>
      <c r="D117" s="45" t="n"/>
      <c r="E117" s="45" t="n">
        <v>20825.74</v>
      </c>
      <c r="F117" s="18">
        <f>E117*D117</f>
        <v/>
      </c>
      <c r="G117" s="87" t="n"/>
      <c r="H117" s="83" t="n"/>
      <c r="J117" s="88" t="n">
        <v>38496.01</v>
      </c>
    </row>
    <row r="118" ht="15" customHeight="1">
      <c r="B118" s="87" t="inlineStr">
        <is>
          <t>5</t>
        </is>
      </c>
      <c r="C118" s="52" t="inlineStr">
        <is>
          <t>Насос ЦНС-38/44...220</t>
        </is>
      </c>
      <c r="D118" s="45" t="n"/>
      <c r="E118" s="45" t="n">
        <v>6515.95</v>
      </c>
      <c r="F118" s="18">
        <f>E118*D118</f>
        <v/>
      </c>
      <c r="G118" s="87" t="n"/>
      <c r="H118" s="83" t="n"/>
    </row>
    <row r="119" ht="15" customHeight="1">
      <c r="B119" s="87" t="inlineStr">
        <is>
          <t>6</t>
        </is>
      </c>
      <c r="C119" s="52" t="inlineStr">
        <is>
          <t>Насос 1Д630/90</t>
        </is>
      </c>
      <c r="D119" s="45" t="n"/>
      <c r="E119" s="18" t="n">
        <v>7053.6</v>
      </c>
      <c r="F119" s="18">
        <f>E119*D119</f>
        <v/>
      </c>
      <c r="G119" s="87" t="n"/>
      <c r="H119" s="83" t="n"/>
    </row>
    <row r="120" ht="38.25" customHeight="1">
      <c r="B120" s="87" t="inlineStr">
        <is>
          <t>7</t>
        </is>
      </c>
      <c r="C120" s="52" t="inlineStr">
        <is>
          <t>Насос К 65-50-160; К 65-40-100; К 65-50-160; К 80-50-200; КМН 80-65-175, К 100-80-160;К 100-65-200, КМ 160-65-200, 3Т13Н; ЦВК 6,3/160;ВКС 2/26;</t>
        </is>
      </c>
      <c r="D120" s="45" t="n"/>
      <c r="E120" s="18" t="n">
        <v>3318.38</v>
      </c>
      <c r="F120" s="18">
        <f>E120*D120</f>
        <v/>
      </c>
      <c r="G120" s="87" t="n"/>
      <c r="H120" s="83" t="n"/>
    </row>
    <row r="121" ht="15" customHeight="1">
      <c r="B121" s="87" t="inlineStr">
        <is>
          <t>8</t>
        </is>
      </c>
      <c r="C121" s="52" t="inlineStr">
        <is>
          <t>Насос НМШ 5/25</t>
        </is>
      </c>
      <c r="D121" s="45" t="n"/>
      <c r="E121" s="18" t="n">
        <v>1486.15</v>
      </c>
      <c r="F121" s="18" t="n"/>
      <c r="G121" s="87" t="n"/>
      <c r="H121" s="83" t="n"/>
    </row>
    <row r="122" ht="15" customHeight="1">
      <c r="B122" s="87" t="inlineStr">
        <is>
          <t>9</t>
        </is>
      </c>
      <c r="C122" s="52" t="inlineStr">
        <is>
          <t>Насос 1Д630/125</t>
        </is>
      </c>
      <c r="D122" s="45" t="n"/>
      <c r="E122" s="18" t="n">
        <v>7053.6</v>
      </c>
      <c r="F122" s="18" t="n"/>
      <c r="G122" s="87" t="n"/>
      <c r="H122" s="83" t="n"/>
    </row>
    <row r="123" ht="15" customHeight="1">
      <c r="B123" s="87" t="inlineStr">
        <is>
          <t>10</t>
        </is>
      </c>
      <c r="C123" s="52" t="inlineStr">
        <is>
          <t>Насос АХП 45/31</t>
        </is>
      </c>
      <c r="D123" s="45" t="n"/>
      <c r="E123" s="18" t="n">
        <v>21627.72</v>
      </c>
      <c r="F123" s="18" t="n"/>
      <c r="G123" s="87" t="n"/>
      <c r="H123" s="83" t="n"/>
    </row>
    <row r="124" ht="15" customHeight="1">
      <c r="B124" s="87" t="inlineStr">
        <is>
          <t>11</t>
        </is>
      </c>
      <c r="C124" s="52" t="inlineStr">
        <is>
          <t>Насос дозировочный типа  PAX</t>
        </is>
      </c>
      <c r="D124" s="45" t="n"/>
      <c r="E124" s="18" t="n">
        <v>7898.48</v>
      </c>
      <c r="F124" s="18" t="n"/>
      <c r="G124" s="87" t="n"/>
      <c r="H124" s="83" t="n"/>
    </row>
    <row r="125" ht="15" customHeight="1">
      <c r="B125" s="87" t="inlineStr">
        <is>
          <t>12</t>
        </is>
      </c>
      <c r="C125" s="52" t="inlineStr">
        <is>
          <t>Насос НМШ 8/25</t>
        </is>
      </c>
      <c r="D125" s="45" t="n"/>
      <c r="E125" s="18" t="n">
        <v>1486.15</v>
      </c>
      <c r="F125" s="18" t="n"/>
      <c r="G125" s="87" t="n"/>
      <c r="H125" s="83" t="n"/>
    </row>
    <row r="126" ht="15" customHeight="1">
      <c r="B126" s="87" t="inlineStr">
        <is>
          <t>13</t>
        </is>
      </c>
      <c r="C126" s="52" t="inlineStr">
        <is>
          <t>Насос ЦГ 6,3/32</t>
        </is>
      </c>
      <c r="D126" s="45" t="n"/>
      <c r="E126" s="18" t="n">
        <v>6515.95</v>
      </c>
      <c r="F126" s="18" t="n"/>
      <c r="G126" s="87" t="n"/>
      <c r="H126" s="83" t="n"/>
    </row>
    <row r="127" ht="15" customHeight="1">
      <c r="B127" s="87" t="inlineStr">
        <is>
          <t>14</t>
        </is>
      </c>
      <c r="C127" s="52" t="inlineStr">
        <is>
          <t>Насос ЦНС-105/98..490</t>
        </is>
      </c>
      <c r="D127" s="45" t="n"/>
      <c r="E127" s="18" t="n">
        <v>18106.45</v>
      </c>
      <c r="F127" s="18" t="n"/>
      <c r="G127" s="87" t="n"/>
      <c r="H127" s="83" t="n"/>
    </row>
    <row r="128" ht="15" customHeight="1">
      <c r="B128" s="87" t="inlineStr">
        <is>
          <t>15</t>
        </is>
      </c>
      <c r="C128" s="52" t="inlineStr">
        <is>
          <t>Насос НПВ  1250/60</t>
        </is>
      </c>
      <c r="D128" s="45" t="n"/>
      <c r="E128" s="18" t="n">
        <v>21595.33</v>
      </c>
      <c r="F128" s="18" t="n"/>
      <c r="G128" s="87" t="n"/>
      <c r="H128" s="83" t="n"/>
    </row>
    <row r="129" ht="15" customHeight="1">
      <c r="B129" s="87" t="inlineStr">
        <is>
          <t>16</t>
        </is>
      </c>
      <c r="C129" s="52" t="inlineStr">
        <is>
          <t>Насос ЦНС 180/1422...1900 2ТМ</t>
        </is>
      </c>
      <c r="D129" s="45" t="n"/>
      <c r="E129" s="18" t="n">
        <v>34381.12</v>
      </c>
      <c r="F129" s="18" t="n"/>
      <c r="G129" s="87" t="n"/>
      <c r="H129" s="83" t="n"/>
    </row>
    <row r="130" ht="15" customHeight="1">
      <c r="B130" s="87" t="inlineStr">
        <is>
          <t>17</t>
        </is>
      </c>
      <c r="C130" s="52" t="inlineStr">
        <is>
          <t>Насос ЦНС 240/1422...1900 ЗК</t>
        </is>
      </c>
      <c r="D130" s="45" t="n"/>
      <c r="E130" s="18" t="n">
        <v>30532.49</v>
      </c>
      <c r="F130" s="18" t="n"/>
      <c r="G130" s="87" t="n"/>
      <c r="H130" s="83" t="n"/>
    </row>
    <row r="131" ht="15" customHeight="1">
      <c r="B131" s="87" t="inlineStr">
        <is>
          <t>18</t>
        </is>
      </c>
      <c r="C131" s="52" t="inlineStr">
        <is>
          <t>Насос ЦНС-180/1422…1900;63/1800</t>
        </is>
      </c>
      <c r="D131" s="45" t="n"/>
      <c r="E131" s="18" t="n">
        <v>34381.12</v>
      </c>
      <c r="F131" s="18" t="n"/>
      <c r="G131" s="87" t="n"/>
      <c r="H131" s="83" t="n"/>
    </row>
    <row r="132" ht="15" customHeight="1">
      <c r="B132" s="87" t="inlineStr">
        <is>
          <t>19</t>
        </is>
      </c>
      <c r="C132" s="52" t="inlineStr">
        <is>
          <t>Насос ЦНС 240/1422...1900 2ТМ</t>
        </is>
      </c>
      <c r="D132" s="45" t="n"/>
      <c r="E132" s="18" t="n">
        <v>39881.87</v>
      </c>
      <c r="F132" s="18" t="n"/>
      <c r="G132" s="87" t="n"/>
      <c r="H132" s="83" t="n"/>
    </row>
    <row r="133" ht="15" customHeight="1">
      <c r="B133" s="87" t="inlineStr">
        <is>
          <t>20</t>
        </is>
      </c>
      <c r="C133" s="52" t="inlineStr">
        <is>
          <t>Насос 1Д200/90,4Д200/90, Д250/125</t>
        </is>
      </c>
      <c r="D133" s="45" t="n"/>
      <c r="E133" s="18" t="n">
        <v>7053.6</v>
      </c>
      <c r="F133" s="18" t="n"/>
      <c r="G133" s="87" t="n"/>
      <c r="H133" s="83" t="n"/>
    </row>
    <row r="134" ht="15" customHeight="1">
      <c r="B134" s="87" t="inlineStr">
        <is>
          <t>21</t>
        </is>
      </c>
      <c r="C134" s="52" t="inlineStr">
        <is>
          <t>Насос ЦНС-60/66…330</t>
        </is>
      </c>
      <c r="D134" s="45" t="n"/>
      <c r="E134" s="18" t="n">
        <v>11191.56</v>
      </c>
      <c r="F134" s="18">
        <f>E134*D134</f>
        <v/>
      </c>
      <c r="G134" s="87" t="n"/>
      <c r="H134" s="83" t="n"/>
    </row>
    <row r="135" ht="15" customHeight="1">
      <c r="B135" s="87" t="inlineStr">
        <is>
          <t>22</t>
        </is>
      </c>
      <c r="C135" s="52" t="inlineStr">
        <is>
          <t>Насос 1Д315/71, Д320/70</t>
        </is>
      </c>
      <c r="D135" s="45" t="n"/>
      <c r="E135" s="18" t="n">
        <v>7053.6</v>
      </c>
      <c r="F135" s="18">
        <f>E135*D135</f>
        <v/>
      </c>
      <c r="G135" s="87" t="n"/>
      <c r="H135" s="83" t="n"/>
    </row>
    <row r="136" ht="15" customHeight="1">
      <c r="B136" s="87" t="inlineStr">
        <is>
          <t>23</t>
        </is>
      </c>
      <c r="C136" s="52" t="inlineStr">
        <is>
          <t>Насос НВД 50/50; НВД 50/80; НВД 35/90</t>
        </is>
      </c>
      <c r="D136" s="45" t="n"/>
      <c r="E136" s="18" t="n">
        <v>5912.22</v>
      </c>
      <c r="F136" s="18">
        <f>E136*D136</f>
        <v/>
      </c>
      <c r="G136" s="87" t="n"/>
      <c r="H136" s="83" t="n"/>
    </row>
    <row r="137" ht="15" customHeight="1">
      <c r="B137" s="87" t="inlineStr">
        <is>
          <t>24</t>
        </is>
      </c>
      <c r="C137" s="52" t="inlineStr">
        <is>
          <t>Насос 1Д1250/90-125</t>
        </is>
      </c>
      <c r="D137" s="45" t="n"/>
      <c r="E137" s="18" t="n">
        <v>7053.6</v>
      </c>
      <c r="F137" s="18">
        <f>E137*D137</f>
        <v/>
      </c>
      <c r="G137" s="87" t="n"/>
      <c r="H137" s="83" t="n"/>
    </row>
    <row r="138" ht="15" customHeight="1">
      <c r="B138" s="87" t="inlineStr">
        <is>
          <t>25</t>
        </is>
      </c>
      <c r="C138" s="52" t="inlineStr">
        <is>
          <t>Насос ЦНС-180/170…425</t>
        </is>
      </c>
      <c r="D138" s="45" t="n"/>
      <c r="E138" s="18" t="n">
        <v>20188.55</v>
      </c>
      <c r="F138" s="18">
        <f>E138*D138</f>
        <v/>
      </c>
      <c r="G138" s="87" t="n"/>
      <c r="H138" s="83" t="n"/>
    </row>
    <row r="139" ht="15" customHeight="1">
      <c r="B139" s="87" t="inlineStr">
        <is>
          <t>26</t>
        </is>
      </c>
      <c r="C139" s="52" t="inlineStr">
        <is>
          <t>Насос ЦНС 240/1422...1900 3ТМ</t>
        </is>
      </c>
      <c r="D139" s="45" t="n"/>
      <c r="E139" s="18" t="n">
        <v>39296.45</v>
      </c>
      <c r="F139" s="18">
        <f>E139*D139</f>
        <v/>
      </c>
      <c r="G139" s="87" t="n"/>
      <c r="H139" s="83" t="n"/>
    </row>
    <row r="140" ht="25.5" customHeight="1">
      <c r="B140" s="87" t="inlineStr">
        <is>
          <t>27</t>
        </is>
      </c>
      <c r="C140" s="52" t="inlineStr">
        <is>
          <t>Насос KRGH 80/315;KRGH 200/500; KRGH 125/80/315</t>
        </is>
      </c>
      <c r="D140" s="45" t="n"/>
      <c r="E140" s="18" t="n">
        <v>21625.11</v>
      </c>
      <c r="F140" s="18">
        <f>E140*D140</f>
        <v/>
      </c>
      <c r="G140" s="87" t="n"/>
      <c r="H140" s="83" t="n"/>
    </row>
    <row r="141" ht="15" customHeight="1">
      <c r="B141" s="87" t="inlineStr">
        <is>
          <t>28</t>
        </is>
      </c>
      <c r="C141" s="52" t="inlineStr">
        <is>
          <t>Насос НВД50/50, НВД 50/80, НВД35/90</t>
        </is>
      </c>
      <c r="D141" s="45" t="n"/>
      <c r="E141" s="18" t="n">
        <v>5912.22</v>
      </c>
      <c r="F141" s="18">
        <f>E141*D141</f>
        <v/>
      </c>
      <c r="G141" s="87" t="n"/>
      <c r="H141" s="83" t="n"/>
    </row>
    <row r="142" ht="15" customHeight="1">
      <c r="B142" s="87" t="inlineStr">
        <is>
          <t>29</t>
        </is>
      </c>
      <c r="C142" s="52" t="inlineStr">
        <is>
          <t>Насос ЦНС 180..240/1422...1900 ЗК</t>
        </is>
      </c>
      <c r="D142" s="45" t="n"/>
      <c r="E142" s="18" t="n">
        <v>30532.49</v>
      </c>
      <c r="F142" s="18">
        <f>E142*D142</f>
        <v/>
      </c>
      <c r="G142" s="87" t="n"/>
      <c r="H142" s="83" t="n"/>
    </row>
    <row r="143" ht="15" customHeight="1">
      <c r="B143" s="87" t="inlineStr">
        <is>
          <t>30</t>
        </is>
      </c>
      <c r="C143" s="50" t="inlineStr">
        <is>
          <t>Насос 1Д500/63б</t>
        </is>
      </c>
      <c r="D143" s="45" t="n"/>
      <c r="E143" s="18" t="n">
        <v>7053.6</v>
      </c>
      <c r="F143" s="18" t="n"/>
      <c r="G143" s="87" t="n"/>
      <c r="H143" s="83" t="n"/>
    </row>
    <row r="144" ht="15" customHeight="1">
      <c r="B144" s="87" t="inlineStr">
        <is>
          <t>31</t>
        </is>
      </c>
      <c r="C144" s="51" t="inlineStr">
        <is>
          <t>Насос CRE20-01 G-F-A-E-HQQE</t>
        </is>
      </c>
      <c r="D144" s="45" t="n"/>
      <c r="E144" s="18" t="n">
        <v>7406.28</v>
      </c>
      <c r="F144" s="18" t="n"/>
      <c r="G144" s="87" t="n"/>
      <c r="H144" s="83" t="n"/>
    </row>
    <row r="145" ht="15" customHeight="1">
      <c r="B145" s="87" t="inlineStr">
        <is>
          <t>32</t>
        </is>
      </c>
      <c r="C145" s="50" t="inlineStr">
        <is>
          <t>Насос CR15-02 A-F-A-E-HQQE</t>
        </is>
      </c>
      <c r="D145" s="45" t="n"/>
      <c r="E145" s="18" t="n">
        <v>7406.28</v>
      </c>
      <c r="F145" s="18" t="n"/>
      <c r="G145" s="87" t="n"/>
      <c r="H145" s="83" t="n"/>
    </row>
    <row r="146" ht="15" customHeight="1">
      <c r="B146" s="87" t="inlineStr">
        <is>
          <t>33</t>
        </is>
      </c>
      <c r="C146" s="51" t="inlineStr">
        <is>
          <t>Насос ЦНС 180-1422...1900 3 ТМ</t>
        </is>
      </c>
      <c r="D146" s="45" t="n"/>
      <c r="E146" s="18" t="n">
        <v>39881.87</v>
      </c>
      <c r="F146" s="18" t="n"/>
      <c r="G146" s="87" t="n"/>
      <c r="H146" s="83" t="n"/>
    </row>
    <row r="147" ht="15" customHeight="1">
      <c r="B147" s="87" t="inlineStr">
        <is>
          <t>34</t>
        </is>
      </c>
      <c r="C147" s="51" t="inlineStr">
        <is>
          <t>Насос ЦНС 63-1422...1900 2 ТМ</t>
        </is>
      </c>
      <c r="D147" s="45" t="n"/>
      <c r="E147" s="18" t="n">
        <v>34381.12</v>
      </c>
      <c r="F147" s="18">
        <f>E147*D147</f>
        <v/>
      </c>
      <c r="G147" s="87" t="n"/>
      <c r="H147" s="83" t="n"/>
    </row>
    <row r="148" ht="15" customHeight="1">
      <c r="B148" s="87" t="inlineStr">
        <is>
          <t>35</t>
        </is>
      </c>
      <c r="C148" s="51" t="inlineStr">
        <is>
          <t>Насос ЦНС 13-70... 350</t>
        </is>
      </c>
      <c r="D148" s="45" t="n"/>
      <c r="E148" s="18" t="n">
        <v>6515.95</v>
      </c>
      <c r="F148" s="18">
        <f>E148*D148</f>
        <v/>
      </c>
      <c r="G148" s="87" t="n"/>
      <c r="H148" s="83" t="n"/>
    </row>
    <row r="149" ht="15" customHeight="1">
      <c r="B149" s="87" t="inlineStr">
        <is>
          <t>36</t>
        </is>
      </c>
      <c r="C149" s="51" t="inlineStr">
        <is>
          <t>Насос ЦНС 300/1422…1900</t>
        </is>
      </c>
      <c r="D149" s="45" t="n"/>
      <c r="E149" s="18" t="n">
        <v>39881.87</v>
      </c>
      <c r="F149" s="18">
        <f>E149*D149</f>
        <v/>
      </c>
      <c r="G149" s="87" t="n"/>
      <c r="H149" s="83" t="n"/>
    </row>
    <row r="150" ht="15" customHeight="1">
      <c r="B150" s="87" t="inlineStr">
        <is>
          <t>37</t>
        </is>
      </c>
      <c r="C150" s="51" t="inlineStr">
        <is>
          <t>Насос ЦНС 310/1422…1900</t>
        </is>
      </c>
      <c r="D150" s="45" t="n"/>
      <c r="E150" s="18" t="n">
        <v>39881.87</v>
      </c>
      <c r="F150" s="18">
        <f>E150*D150</f>
        <v/>
      </c>
      <c r="G150" s="87" t="n"/>
      <c r="H150" s="83" t="n"/>
    </row>
    <row r="151" ht="14.25" customHeight="1">
      <c r="B151" s="83" t="n"/>
      <c r="C151" s="84" t="inlineStr">
        <is>
          <t>ИТОГО</t>
        </is>
      </c>
      <c r="D151" s="87" t="n"/>
      <c r="E151" s="87" t="n"/>
      <c r="F151" s="18">
        <f>SUM(F114:F150)</f>
        <v/>
      </c>
      <c r="G151" s="87" t="n"/>
      <c r="H151" s="83" t="n"/>
    </row>
    <row r="152" ht="14.25" customHeight="1">
      <c r="B152" s="83" t="inlineStr">
        <is>
          <t>Установка оборудования</t>
        </is>
      </c>
      <c r="C152" s="84" t="n"/>
      <c r="D152" s="87" t="n"/>
      <c r="E152" s="87" t="n"/>
      <c r="F152" s="18" t="n"/>
      <c r="G152" s="87" t="n"/>
      <c r="H152" s="83" t="n"/>
    </row>
    <row r="153" ht="40.5" customHeight="1">
      <c r="B153" s="3" t="n">
        <v>1</v>
      </c>
      <c r="C153" s="52" t="inlineStr">
        <is>
          <t>Насос 12НА9/4; 12НА 22/6; НВ 50/50; НВ 50/80; НВЕ 50/50; НВЕ 50/80; НВД50/50; НВД 50/80; НВД35/90; ГХИ 6,3/32;</t>
        </is>
      </c>
      <c r="D153" s="87" t="n"/>
      <c r="E153" s="87" t="n">
        <v>5519.78</v>
      </c>
      <c r="F153" s="18">
        <f>E153*D153</f>
        <v/>
      </c>
      <c r="G153" s="87" t="n"/>
      <c r="H153" s="83" t="n"/>
    </row>
    <row r="154" ht="25.5" customHeight="1">
      <c r="B154" s="3" t="n">
        <v>2</v>
      </c>
      <c r="C154" s="52" t="inlineStr">
        <is>
          <t>Насос дозировочный типа НД, ДП, PIAX 32/28; PAX 32/12; BUL 6,3/64</t>
        </is>
      </c>
      <c r="D154" s="87" t="n"/>
      <c r="E154" s="87" t="n">
        <v>1559.69</v>
      </c>
      <c r="F154" s="18">
        <f>E154*D154</f>
        <v/>
      </c>
      <c r="G154" s="87" t="n"/>
      <c r="H154" s="83" t="n"/>
    </row>
    <row r="155" ht="16.5" customHeight="1">
      <c r="B155" s="3" t="n">
        <v>3</v>
      </c>
      <c r="C155" s="52" t="inlineStr">
        <is>
          <t>Насос ЦНС-38/44…220; ЦНС 13/70…350;  ЦГ 6,3/32;</t>
        </is>
      </c>
      <c r="D155" s="87" t="n"/>
      <c r="E155" s="87" t="n">
        <v>17361.15</v>
      </c>
      <c r="F155" s="18">
        <f>E155*D155</f>
        <v/>
      </c>
      <c r="G155" s="87" t="n"/>
      <c r="H155" s="83" t="n"/>
    </row>
    <row r="156" ht="15" customHeight="1">
      <c r="B156" s="3" t="n">
        <v>4</v>
      </c>
      <c r="C156" s="52" t="inlineStr">
        <is>
          <t>Насос 1Д630/90, Д630/125</t>
        </is>
      </c>
      <c r="D156" s="87" t="n"/>
      <c r="E156" s="87" t="n">
        <v>12708.86</v>
      </c>
      <c r="F156" s="18">
        <f>E156*D156</f>
        <v/>
      </c>
      <c r="G156" s="87" t="n"/>
      <c r="H156" s="83" t="n"/>
    </row>
    <row r="157" ht="44.25" customHeight="1">
      <c r="B157" s="3" t="n">
        <v>5</v>
      </c>
      <c r="C157" s="52" t="inlineStr">
        <is>
          <t>Насос К 65-50-160; К 65-40-100; К 65-50-160; К 80-50-200; КМН 80-65-175, К 100-80-160;К 100-65-200, КМ 160-65-200, 3Т13Н; ЦВК 6,3/160;ВКС 2/26;</t>
        </is>
      </c>
      <c r="D157" s="87" t="n"/>
      <c r="E157" s="87" t="n">
        <v>2047.93</v>
      </c>
      <c r="F157" s="18">
        <f>E157*D157</f>
        <v/>
      </c>
      <c r="G157" s="87" t="n"/>
      <c r="H157" s="83" t="n"/>
    </row>
    <row r="158" ht="15" customHeight="1">
      <c r="B158" s="3" t="n">
        <v>6</v>
      </c>
      <c r="C158" s="52" t="inlineStr">
        <is>
          <t>Насос НМШ 5/25; 8/25;</t>
        </is>
      </c>
      <c r="D158" s="87" t="n"/>
      <c r="E158" s="87" t="n">
        <v>1373.17</v>
      </c>
      <c r="F158" s="18">
        <f>E158*D158</f>
        <v/>
      </c>
      <c r="G158" s="87" t="n"/>
      <c r="H158" s="83" t="n"/>
    </row>
    <row r="159" ht="51" customHeight="1">
      <c r="B159" s="3" t="n">
        <v>7</v>
      </c>
      <c r="C159" s="52" t="inlineStr">
        <is>
          <t>Насос ЦНС-105/98...490; ЦНС 180/170…425; ЦНС-180/1422…1900; ЦНС 180/240/1422...1900 (2ТМ, 3ТМ); ЦНС 180/240/1422...1900 ЗК; ЦНС 63/1800; ЦНС 40/1400;</t>
        </is>
      </c>
      <c r="D159" s="87" t="n"/>
      <c r="E159" s="87" t="n">
        <v>40029.98</v>
      </c>
      <c r="F159" s="18">
        <f>E159*D159</f>
        <v/>
      </c>
      <c r="G159" s="87" t="n"/>
      <c r="H159" s="83" t="n"/>
    </row>
    <row r="160" ht="15" customHeight="1">
      <c r="B160" s="3" t="n">
        <v>8</v>
      </c>
      <c r="C160" s="52" t="inlineStr">
        <is>
          <t>Насос НПВ1250-60/90</t>
        </is>
      </c>
      <c r="D160" s="87" t="n"/>
      <c r="E160" s="87" t="n">
        <v>41116.26</v>
      </c>
      <c r="F160" s="18">
        <f>E160*D160</f>
        <v/>
      </c>
      <c r="G160" s="87" t="n"/>
      <c r="H160" s="83" t="n"/>
    </row>
    <row r="161" ht="25.5" customHeight="1">
      <c r="B161" s="3" t="n">
        <v>9</v>
      </c>
      <c r="C161" s="52" t="inlineStr">
        <is>
          <t>Насос 1Д200/90, 1Д315/71, 4Д200/90, 1Д320/70, 1Д250/125</t>
        </is>
      </c>
      <c r="D161" s="87" t="n"/>
      <c r="E161" s="87" t="n">
        <v>6310.95</v>
      </c>
      <c r="F161" s="18">
        <f>E161*D161</f>
        <v/>
      </c>
      <c r="G161" s="87" t="n"/>
      <c r="H161" s="83" t="n"/>
    </row>
    <row r="162" ht="15" customHeight="1">
      <c r="B162" s="3" t="n">
        <v>10</v>
      </c>
      <c r="C162" s="52" t="inlineStr">
        <is>
          <t>Насос ЦНС-60/66...330;</t>
        </is>
      </c>
      <c r="D162" s="87" t="n"/>
      <c r="E162" s="87" t="n">
        <v>17988.94</v>
      </c>
      <c r="F162" s="18">
        <f>E162*D162</f>
        <v/>
      </c>
      <c r="G162" s="87" t="n"/>
      <c r="H162" s="83" t="n"/>
    </row>
    <row r="163" ht="15" customHeight="1">
      <c r="B163" s="3" t="n">
        <v>11</v>
      </c>
      <c r="C163" s="52" t="inlineStr">
        <is>
          <t>Насос ЦНС-300/120…600</t>
        </is>
      </c>
      <c r="D163" s="87" t="n"/>
      <c r="E163" s="87" t="n">
        <v>42583.13</v>
      </c>
      <c r="F163" s="18">
        <f>E163*D163</f>
        <v/>
      </c>
      <c r="G163" s="87" t="n"/>
      <c r="H163" s="83" t="n"/>
    </row>
    <row r="164" ht="38.25" customHeight="1">
      <c r="B164" s="3" t="n">
        <v>12</v>
      </c>
      <c r="C164" s="52" t="inlineStr">
        <is>
          <t>Насос АХП 45/31; 12НА9/4; 12НА 22/6; НВ 50/50; НВ 50/80; НВЕ 50/50; НВЕ 50/80; НВД50/50; НВД 50/80; НВД35/90; ГХИ 6,3/32;</t>
        </is>
      </c>
      <c r="D164" s="87" t="n"/>
      <c r="E164" s="87" t="n">
        <v>5519.78</v>
      </c>
      <c r="F164" s="18">
        <f>E164*D164</f>
        <v/>
      </c>
      <c r="G164" s="87" t="n"/>
      <c r="H164" s="83" t="n"/>
    </row>
    <row r="165" ht="15" customHeight="1">
      <c r="B165" s="3" t="n">
        <v>13</v>
      </c>
      <c r="C165" s="52" t="inlineStr">
        <is>
          <t>Насос 1Д1250/90-125</t>
        </is>
      </c>
      <c r="D165" s="87" t="n"/>
      <c r="E165" s="87" t="n">
        <v>15135.48</v>
      </c>
      <c r="F165" s="18">
        <f>E165*D165</f>
        <v/>
      </c>
      <c r="G165" s="87" t="n"/>
      <c r="H165" s="83" t="n"/>
    </row>
    <row r="166" ht="23.25" customHeight="1">
      <c r="B166" s="3" t="n">
        <v>14</v>
      </c>
      <c r="C166" s="52" t="inlineStr">
        <is>
          <t>Насос KRGH 80/315,KRGH 200/500, KRGH 125/80/315</t>
        </is>
      </c>
      <c r="D166" s="87" t="n"/>
      <c r="E166" s="87" t="n">
        <v>21541.65</v>
      </c>
      <c r="F166" s="18">
        <f>E166*D166</f>
        <v/>
      </c>
      <c r="G166" s="87" t="n"/>
      <c r="H166" s="83" t="n"/>
    </row>
    <row r="167" ht="38.25" customHeight="1">
      <c r="B167" s="3" t="n">
        <v>15</v>
      </c>
      <c r="C167" s="52" t="inlineStr">
        <is>
          <t>Насос  АХП 45/31; 12НА9/4; 12НА 22/6; НВ 50/50; НВ 50/80; НВЕ 50/50; НВЕ 50/80; НВД50/50; НВД 50/80; НВД35/90; ГХИ 6,3/32;</t>
        </is>
      </c>
      <c r="D167" s="87" t="n"/>
      <c r="E167" s="87" t="n">
        <v>5519.78</v>
      </c>
      <c r="F167" s="18">
        <f>E167*D167</f>
        <v/>
      </c>
      <c r="G167" s="87" t="n"/>
      <c r="H167" s="83" t="n"/>
    </row>
    <row r="168" ht="15" customHeight="1">
      <c r="B168" s="3" t="n">
        <v>16</v>
      </c>
      <c r="C168" s="50" t="inlineStr">
        <is>
          <t>Насос 1Д500/63б</t>
        </is>
      </c>
      <c r="D168" s="87" t="n"/>
      <c r="E168" s="87" t="n">
        <v>12708.89</v>
      </c>
      <c r="F168" s="18">
        <f>E168*D168</f>
        <v/>
      </c>
      <c r="G168" s="87" t="n"/>
      <c r="H168" s="83" t="n"/>
    </row>
    <row r="169" ht="15" customHeight="1">
      <c r="B169" s="3" t="n">
        <v>17</v>
      </c>
      <c r="C169" s="51" t="inlineStr">
        <is>
          <t>Насос CRE20-01 G-F-A-E-HQQE</t>
        </is>
      </c>
      <c r="D169" s="87" t="n"/>
      <c r="E169" s="87" t="n">
        <v>5519.78</v>
      </c>
      <c r="F169" s="18">
        <f>E169*D169</f>
        <v/>
      </c>
      <c r="G169" s="87" t="n"/>
      <c r="H169" s="83" t="n"/>
    </row>
    <row r="170" ht="15" customHeight="1">
      <c r="B170" s="3" t="n">
        <v>18</v>
      </c>
      <c r="C170" s="50" t="inlineStr">
        <is>
          <t>Насос CR15-02 A-F-A-E-HQQE</t>
        </is>
      </c>
      <c r="D170" s="87" t="n"/>
      <c r="E170" s="87" t="n">
        <v>5519.78</v>
      </c>
      <c r="F170" s="18" t="n"/>
      <c r="G170" s="87" t="n"/>
      <c r="H170" s="83" t="n"/>
    </row>
    <row r="171" ht="15" customHeight="1">
      <c r="B171" s="3" t="n">
        <v>19</v>
      </c>
      <c r="C171" s="51" t="inlineStr">
        <is>
          <t>Насос ЦНС 180-1422...1900 3 ТМ</t>
        </is>
      </c>
      <c r="D171" s="87" t="n"/>
      <c r="E171" s="87" t="n">
        <v>37957.98</v>
      </c>
      <c r="F171" s="18" t="n"/>
      <c r="G171" s="87" t="n"/>
      <c r="H171" s="83" t="n"/>
    </row>
    <row r="172" ht="15" customHeight="1">
      <c r="B172" s="3" t="n">
        <v>20</v>
      </c>
      <c r="C172" s="51" t="inlineStr">
        <is>
          <t>Насос ЦНС 63-1422...1900 2 ТМ</t>
        </is>
      </c>
      <c r="D172" s="87" t="n"/>
      <c r="E172" s="87" t="n">
        <v>37957.98</v>
      </c>
      <c r="F172" s="18" t="n"/>
      <c r="G172" s="87" t="n"/>
      <c r="H172" s="83" t="n"/>
    </row>
    <row r="173" ht="15" customHeight="1">
      <c r="B173" s="3" t="n">
        <v>21</v>
      </c>
      <c r="C173" s="51" t="inlineStr">
        <is>
          <t>Насос ЦНС 13-70... 350</t>
        </is>
      </c>
      <c r="D173" s="87" t="n"/>
      <c r="E173" s="87" t="n">
        <v>17361.15</v>
      </c>
      <c r="F173" s="18">
        <f>E173*D173</f>
        <v/>
      </c>
      <c r="G173" s="87" t="n"/>
      <c r="H173" s="83" t="n"/>
    </row>
    <row r="174" ht="15" customHeight="1">
      <c r="B174" s="3" t="n">
        <v>22</v>
      </c>
      <c r="C174" s="51" t="inlineStr">
        <is>
          <t>Насос ЦНС 300/1422…1900</t>
        </is>
      </c>
      <c r="D174" s="87" t="n"/>
      <c r="E174" s="87" t="n">
        <v>37957.96</v>
      </c>
      <c r="F174" s="18">
        <f>E174*D174</f>
        <v/>
      </c>
      <c r="G174" s="87" t="n"/>
      <c r="H174" s="83" t="n"/>
    </row>
    <row r="175" ht="15" customHeight="1">
      <c r="B175" s="3" t="n">
        <v>23</v>
      </c>
      <c r="C175" s="51" t="inlineStr">
        <is>
          <t>Насос ЦНС 310/1422…1900</t>
        </is>
      </c>
      <c r="D175" s="45" t="n"/>
      <c r="E175" s="18" t="n">
        <v>37957.96</v>
      </c>
      <c r="F175" s="18">
        <f>E175*D175</f>
        <v/>
      </c>
      <c r="G175" s="87" t="n"/>
      <c r="H175" s="83" t="n"/>
    </row>
    <row r="176" ht="15" customHeight="1">
      <c r="B176" s="83" t="n"/>
      <c r="C176" s="84" t="inlineStr">
        <is>
          <t>ИТОГО</t>
        </is>
      </c>
      <c r="D176" s="87" t="n"/>
      <c r="E176" s="87" t="n"/>
      <c r="F176" s="18">
        <f>SUM(F153:F175)</f>
        <v/>
      </c>
      <c r="G176" s="87" t="n"/>
      <c r="H176" s="83" t="n"/>
    </row>
    <row r="177" ht="15" customHeight="1">
      <c r="B177" s="83" t="inlineStr">
        <is>
          <t>Снятие оборудования</t>
        </is>
      </c>
      <c r="C177" s="84" t="n"/>
      <c r="D177" s="87" t="n"/>
      <c r="E177" s="87" t="n"/>
      <c r="F177" s="3" t="n"/>
      <c r="G177" s="87" t="n"/>
      <c r="H177" s="83" t="n"/>
    </row>
    <row r="178" ht="38.25" customHeight="1">
      <c r="B178" s="3" t="n">
        <v>1</v>
      </c>
      <c r="C178" s="84" t="inlineStr">
        <is>
          <t>Насос 12НА9/4; 12НА 22/6; НВ 50/50; НВ 50/80; НВЕ 50/50; НВЕ 50/80; НВД50/50; НВД 50/80; НВД35/90; ГХИ 6,3/32;</t>
        </is>
      </c>
      <c r="D178" s="87" t="n"/>
      <c r="E178" s="87" t="n">
        <v>1204.93</v>
      </c>
      <c r="F178" s="3">
        <f>E178*D178</f>
        <v/>
      </c>
      <c r="G178" s="87" t="n"/>
      <c r="H178" s="83" t="n"/>
    </row>
    <row r="179" ht="25.5" customHeight="1">
      <c r="B179" s="3" t="n">
        <v>2</v>
      </c>
      <c r="C179" s="84" t="inlineStr">
        <is>
          <t>Насос дозировочный типа НД, ДП, PIAX 32/28; PAX 32/12; BUL 6,3/64</t>
        </is>
      </c>
      <c r="D179" s="87" t="n"/>
      <c r="E179" s="87" t="n">
        <v>204.01</v>
      </c>
      <c r="F179" s="3">
        <f>E179*D179</f>
        <v/>
      </c>
      <c r="G179" s="87" t="n"/>
      <c r="H179" s="83" t="n"/>
    </row>
    <row r="180" ht="15" customHeight="1">
      <c r="B180" s="3" t="n">
        <v>3</v>
      </c>
      <c r="C180" s="84" t="inlineStr">
        <is>
          <t>Насос ЦНС-300/120…600</t>
        </is>
      </c>
      <c r="D180" s="87" t="n"/>
      <c r="E180" s="87" t="n">
        <v>13670.84</v>
      </c>
      <c r="F180" s="3">
        <f>E180*D180</f>
        <v/>
      </c>
      <c r="G180" s="87" t="n"/>
      <c r="H180" s="83" t="n"/>
    </row>
    <row r="181" ht="21.75" customHeight="1">
      <c r="B181" s="3" t="n">
        <v>4</v>
      </c>
      <c r="C181" s="84" t="inlineStr">
        <is>
          <t>Насос ЦНС-38/44…220; ЦНС 13/70…350;  ЦГ 6,3/32;</t>
        </is>
      </c>
      <c r="D181" s="87" t="n"/>
      <c r="E181" s="87" t="n">
        <v>4657.5</v>
      </c>
      <c r="F181" s="3">
        <f>E181*D181</f>
        <v/>
      </c>
      <c r="G181" s="87" t="n"/>
      <c r="H181" s="83" t="n"/>
    </row>
    <row r="182" ht="15" customHeight="1">
      <c r="B182" s="3" t="n">
        <v>5</v>
      </c>
      <c r="C182" s="84" t="inlineStr">
        <is>
          <t>Насос 1Д630/90, Д630/125</t>
        </is>
      </c>
      <c r="D182" s="87" t="n"/>
      <c r="E182" s="87" t="n">
        <v>4884.74</v>
      </c>
      <c r="F182" s="3">
        <f>E182*D182</f>
        <v/>
      </c>
      <c r="G182" s="87" t="n"/>
      <c r="H182" s="83" t="n"/>
    </row>
    <row r="183" ht="38.25" customHeight="1">
      <c r="B183" s="3" t="n">
        <v>6</v>
      </c>
      <c r="C183" s="84" t="inlineStr">
        <is>
          <t>Насос К 65-50-160; К 65-40-100; К 65-50-160; К 80-50-200; КМН 80-65-175, К 100-80-160;К 100-65-200, КМ 160-65-200, 3Т13Н; ЦВК 6,3/160;ВКС 2/26;</t>
        </is>
      </c>
      <c r="D183" s="87" t="n"/>
      <c r="E183" s="87" t="n">
        <v>357.91</v>
      </c>
      <c r="F183" s="3">
        <f>E183*D183</f>
        <v/>
      </c>
      <c r="G183" s="87" t="n"/>
      <c r="H183" s="83" t="n"/>
    </row>
    <row r="184" ht="15" customHeight="1">
      <c r="B184" s="3" t="n">
        <v>7</v>
      </c>
      <c r="C184" s="84" t="inlineStr">
        <is>
          <t>Насос НМШ 5/25; 8/25;</t>
        </is>
      </c>
      <c r="D184" s="87" t="n"/>
      <c r="E184" s="87" t="n">
        <v>276.95</v>
      </c>
      <c r="F184" s="3">
        <f>E184*D184</f>
        <v/>
      </c>
      <c r="G184" s="87" t="n"/>
      <c r="H184" s="83" t="n"/>
    </row>
    <row r="185" ht="51" customHeight="1">
      <c r="B185" s="3" t="n">
        <v>8</v>
      </c>
      <c r="C185" s="84" t="inlineStr">
        <is>
          <t>Насос ЦНС-105/98...490; ЦНС 180/170…425; ЦНС-180/1422…1900; ЦНС 180/240/1422...1900 (2ТМ, 3ТМ); ЦНС 180/240/1422...1900 ЗК; ЦНС 63/1800; ЦНС 40/1400;</t>
        </is>
      </c>
      <c r="D185" s="87" t="n"/>
      <c r="E185" s="87" t="n">
        <v>11253.38</v>
      </c>
      <c r="F185" s="3">
        <f>E185*D185</f>
        <v/>
      </c>
      <c r="G185" s="87" t="n"/>
      <c r="H185" s="83" t="n"/>
    </row>
    <row r="186" ht="15" customHeight="1">
      <c r="B186" s="3" t="n">
        <v>9</v>
      </c>
      <c r="C186" s="84" t="inlineStr">
        <is>
          <t>Насос НПВ1250-60/90</t>
        </is>
      </c>
      <c r="D186" s="87" t="n"/>
      <c r="E186" s="87" t="n">
        <v>1226.32</v>
      </c>
      <c r="F186" s="3">
        <f>E186*D186</f>
        <v/>
      </c>
      <c r="G186" s="87" t="n"/>
      <c r="H186" s="83" t="n"/>
    </row>
    <row r="187" ht="25.5" customHeight="1">
      <c r="B187" s="3" t="n">
        <v>10</v>
      </c>
      <c r="C187" s="84" t="inlineStr">
        <is>
          <t>Насос 1Д200/90, 1Д315/71, 4Д200/90, 1Д320/70, 1Д250/125</t>
        </is>
      </c>
      <c r="D187" s="87" t="n"/>
      <c r="E187" s="87" t="n">
        <v>1941.26</v>
      </c>
      <c r="F187" s="3">
        <f>E187*D187</f>
        <v/>
      </c>
      <c r="G187" s="87" t="n"/>
      <c r="H187" s="83" t="n"/>
    </row>
    <row r="188" ht="15" customHeight="1">
      <c r="B188" s="3" t="n">
        <v>11</v>
      </c>
      <c r="C188" s="84" t="inlineStr">
        <is>
          <t>Насос ЦНС-60/66...330;</t>
        </is>
      </c>
      <c r="D188" s="87" t="n"/>
      <c r="E188" s="87" t="n">
        <v>6396.48</v>
      </c>
      <c r="F188" s="3">
        <f>E188*D188</f>
        <v/>
      </c>
      <c r="G188" s="87" t="n"/>
      <c r="H188" s="83" t="n"/>
    </row>
    <row r="189" ht="38.25" customHeight="1">
      <c r="B189" s="3" t="n">
        <v>12</v>
      </c>
      <c r="C189" s="84" t="inlineStr">
        <is>
          <t>Насос АХП 45/31; 12НА9/4; 12НА 22/6; НВ 50/50; НВ 50/80; НВЕ 50/50; НВЕ 50/80; НВД50/50; НВД 50/80; НВД35/90; ГХИ 6,3/32;</t>
        </is>
      </c>
      <c r="D189" s="87" t="n"/>
      <c r="E189" s="87" t="n">
        <v>1204.93</v>
      </c>
      <c r="F189" s="3">
        <f>E189*D189</f>
        <v/>
      </c>
      <c r="G189" s="87" t="n"/>
      <c r="H189" s="83" t="n"/>
    </row>
    <row r="190" ht="15" customHeight="1">
      <c r="B190" s="3" t="n">
        <v>13</v>
      </c>
      <c r="C190" s="84" t="inlineStr">
        <is>
          <t>Насос 1Д1250/90-125</t>
        </is>
      </c>
      <c r="D190" s="87" t="n"/>
      <c r="E190" s="87" t="n">
        <v>6164.09</v>
      </c>
      <c r="F190" s="3">
        <f>E190*D190</f>
        <v/>
      </c>
      <c r="G190" s="87" t="n"/>
      <c r="H190" s="83" t="n"/>
    </row>
    <row r="191" ht="19.5" customHeight="1">
      <c r="B191" s="3" t="n">
        <v>14</v>
      </c>
      <c r="C191" s="84" t="inlineStr">
        <is>
          <t>Насос KRGH 80/315,KRGH 200/500, KRGH 125/80/315</t>
        </is>
      </c>
      <c r="D191" s="87" t="n"/>
      <c r="E191" s="87" t="n">
        <v>9896.059999999999</v>
      </c>
      <c r="F191" s="3" t="n"/>
      <c r="G191" s="87" t="n"/>
      <c r="H191" s="83" t="n"/>
    </row>
    <row r="192" ht="15" customHeight="1">
      <c r="B192" s="3" t="n">
        <v>15</v>
      </c>
      <c r="C192" s="84" t="inlineStr">
        <is>
          <t>Станок-качалка (СК)</t>
        </is>
      </c>
      <c r="D192" s="87" t="n"/>
      <c r="E192" s="87" t="n">
        <v>14097.33</v>
      </c>
      <c r="F192" s="3" t="n"/>
      <c r="G192" s="87" t="n"/>
      <c r="H192" s="83" t="n"/>
    </row>
    <row r="193" ht="15" customHeight="1">
      <c r="B193" s="3" t="n">
        <v>16</v>
      </c>
      <c r="C193" s="84" t="inlineStr">
        <is>
          <t>Демонтаж балансира</t>
        </is>
      </c>
      <c r="D193" s="87" t="n"/>
      <c r="E193" s="87" t="n">
        <v>10520.32</v>
      </c>
      <c r="F193" s="3" t="n"/>
      <c r="G193" s="87" t="n"/>
      <c r="H193" s="83" t="n"/>
    </row>
    <row r="194" ht="15" customHeight="1">
      <c r="B194" s="3" t="n">
        <v>17</v>
      </c>
      <c r="C194" s="84" t="inlineStr">
        <is>
          <t>Основание СК (свайное поле)</t>
        </is>
      </c>
      <c r="D194" s="87" t="n"/>
      <c r="E194" s="87" t="n">
        <v>21359.93</v>
      </c>
      <c r="F194" s="3" t="n"/>
      <c r="G194" s="87" t="n"/>
      <c r="H194" s="83" t="n"/>
    </row>
    <row r="195" ht="15" customHeight="1">
      <c r="B195" s="3" t="n">
        <v>18</v>
      </c>
      <c r="C195" s="84" t="inlineStr">
        <is>
          <t>Насос 1Д500/63б</t>
        </is>
      </c>
      <c r="D195" s="87" t="n"/>
      <c r="E195" s="87" t="n">
        <v>4884.74</v>
      </c>
      <c r="F195" s="3" t="n"/>
      <c r="G195" s="87" t="n"/>
      <c r="H195" s="83" t="n"/>
    </row>
    <row r="196" ht="15" customHeight="1">
      <c r="B196" s="3" t="n">
        <v>19</v>
      </c>
      <c r="C196" s="84" t="inlineStr">
        <is>
          <t>Насос CRE20-01 G-F-A-E-HQQE</t>
        </is>
      </c>
      <c r="D196" s="87" t="n"/>
      <c r="E196" s="87" t="n">
        <v>2240.93</v>
      </c>
      <c r="F196" s="3" t="n"/>
      <c r="G196" s="87" t="n"/>
      <c r="H196" s="83" t="n"/>
    </row>
    <row r="197" ht="15" customHeight="1">
      <c r="B197" s="3" t="n">
        <v>20</v>
      </c>
      <c r="C197" s="84" t="inlineStr">
        <is>
          <t>Насос CR15-02 A-F-A-E-HQQE</t>
        </is>
      </c>
      <c r="D197" s="87" t="n"/>
      <c r="E197" s="87" t="n">
        <v>2240.93</v>
      </c>
      <c r="F197" s="3">
        <f>E197*D197</f>
        <v/>
      </c>
      <c r="G197" s="87" t="n"/>
      <c r="H197" s="83" t="n"/>
    </row>
    <row r="198" ht="15" customHeight="1">
      <c r="B198" s="3" t="n">
        <v>21</v>
      </c>
      <c r="C198" s="84" t="inlineStr">
        <is>
          <t>Насос ЦНС 180-1422...1900 3 ТМ</t>
        </is>
      </c>
      <c r="D198" s="87" t="n"/>
      <c r="E198" s="87" t="n">
        <v>11253.38</v>
      </c>
      <c r="F198" s="3">
        <f>E198*D198</f>
        <v/>
      </c>
      <c r="G198" s="87" t="n"/>
      <c r="H198" s="83" t="n"/>
    </row>
    <row r="199" ht="15" customHeight="1">
      <c r="B199" s="3" t="n">
        <v>22</v>
      </c>
      <c r="C199" s="84" t="inlineStr">
        <is>
          <t>Насос ЦНС 63-1422...1900 2 ТМ</t>
        </is>
      </c>
      <c r="D199" s="87" t="n"/>
      <c r="E199" s="87" t="n">
        <v>11253.38</v>
      </c>
      <c r="F199" s="3">
        <f>E199*D199</f>
        <v/>
      </c>
      <c r="G199" s="87" t="n"/>
      <c r="H199" s="83" t="n"/>
    </row>
    <row r="200" ht="15" customHeight="1">
      <c r="B200" s="3" t="n">
        <v>23</v>
      </c>
      <c r="C200" s="84" t="inlineStr">
        <is>
          <t>Насос ЦНС 13-70... 350</t>
        </is>
      </c>
      <c r="D200" s="87" t="n"/>
      <c r="E200" s="87" t="n">
        <v>4657.5</v>
      </c>
      <c r="F200" s="3">
        <f>E200*D200</f>
        <v/>
      </c>
      <c r="G200" s="87" t="n"/>
      <c r="H200" s="83" t="n"/>
    </row>
    <row r="201" ht="15" customHeight="1">
      <c r="B201" s="3" t="n">
        <v>24</v>
      </c>
      <c r="C201" s="84" t="inlineStr">
        <is>
          <t>Насос ЦНС 300/1422…1900</t>
        </is>
      </c>
      <c r="D201" s="87" t="n"/>
      <c r="E201" s="87" t="n">
        <v>11253.38</v>
      </c>
      <c r="F201" s="3">
        <f>E201*D201</f>
        <v/>
      </c>
      <c r="G201" s="87" t="n"/>
      <c r="H201" s="83" t="n"/>
    </row>
    <row r="202" ht="15" customHeight="1">
      <c r="B202" s="3" t="n">
        <v>25</v>
      </c>
      <c r="C202" s="84" t="inlineStr">
        <is>
          <t>Насос ЦНС 310/1422…1900</t>
        </is>
      </c>
      <c r="D202" s="87" t="n"/>
      <c r="E202" s="87" t="n">
        <v>11253.38</v>
      </c>
      <c r="F202" s="3">
        <f>E202*D202</f>
        <v/>
      </c>
      <c r="G202" s="87" t="n"/>
      <c r="H202" s="83" t="n"/>
    </row>
    <row r="203" ht="14.25" customHeight="1">
      <c r="B203" s="3" t="n"/>
      <c r="C203" s="84" t="inlineStr">
        <is>
          <t>ИТОГО</t>
        </is>
      </c>
      <c r="D203" s="87" t="n"/>
      <c r="E203" s="87" t="n"/>
      <c r="F203" s="3">
        <f>SUM(F178:F202)</f>
        <v/>
      </c>
      <c r="G203" s="87" t="n"/>
      <c r="H203" s="83" t="n"/>
      <c r="M203" s="88" t="inlineStr">
        <is>
          <t xml:space="preserve"> </t>
        </is>
      </c>
    </row>
    <row r="204" ht="15" customHeight="1">
      <c r="B204" s="83" t="inlineStr">
        <is>
          <t>Прочие работы</t>
        </is>
      </c>
      <c r="C204" s="84" t="n"/>
      <c r="D204" s="87" t="n"/>
      <c r="E204" s="87" t="n"/>
      <c r="F204" s="3" t="n"/>
      <c r="G204" s="87" t="n"/>
      <c r="H204" s="83" t="n"/>
    </row>
    <row r="205" ht="15" customHeight="1">
      <c r="B205" s="3" t="n">
        <v>1</v>
      </c>
      <c r="C205" s="84" t="inlineStr">
        <is>
          <t>Снятие, установка с обвзякой БГ</t>
        </is>
      </c>
      <c r="D205" s="87" t="n"/>
      <c r="E205" s="87" t="n">
        <v>325283.1</v>
      </c>
      <c r="F205" s="3">
        <f>E205*D205</f>
        <v/>
      </c>
      <c r="G205" s="87" t="n"/>
      <c r="H205" s="83" t="n"/>
    </row>
    <row r="206" ht="15" customHeight="1">
      <c r="B206" s="3" t="n">
        <v>2</v>
      </c>
      <c r="C206" s="84" t="inlineStr">
        <is>
          <t>Снятие, установка с обвзякой АГЗУ</t>
        </is>
      </c>
      <c r="D206" s="87" t="n"/>
      <c r="E206" s="87" t="n">
        <v>379231.49</v>
      </c>
      <c r="F206" s="3" t="n"/>
      <c r="G206" s="87" t="n"/>
      <c r="H206" s="83" t="n"/>
    </row>
    <row r="207" ht="21" customHeight="1">
      <c r="B207" s="3" t="n">
        <v>3</v>
      </c>
      <c r="C207" s="84" t="inlineStr">
        <is>
          <t>Установка площадки обслуживания скважин</t>
        </is>
      </c>
      <c r="D207" s="87" t="n"/>
      <c r="E207" s="87" t="n">
        <v>10115.25</v>
      </c>
      <c r="F207" s="3">
        <f>E207*D207</f>
        <v/>
      </c>
      <c r="G207" s="87" t="n"/>
      <c r="H207" s="83" t="n"/>
    </row>
    <row r="208" ht="14.25" customHeight="1">
      <c r="B208" s="3" t="n"/>
      <c r="C208" s="84" t="inlineStr">
        <is>
          <t>ИТОГО</t>
        </is>
      </c>
      <c r="D208" s="87" t="n"/>
      <c r="E208" s="87" t="n"/>
      <c r="F208" s="3">
        <f>SUM(F205:F207)</f>
        <v/>
      </c>
      <c r="G208" s="87" t="n"/>
      <c r="H208" s="83" t="n"/>
    </row>
    <row r="209" ht="15.75" customHeight="1">
      <c r="B209" s="99" t="inlineStr">
        <is>
          <t>Итого:</t>
        </is>
      </c>
      <c r="D209" s="87" t="n"/>
      <c r="E209" s="87" t="n"/>
      <c r="F209" s="18">
        <f>F208+F203+F176+F151+F112+F64</f>
        <v/>
      </c>
      <c r="H209" s="3">
        <f>F203+F176+F152+F151+F112+F64</f>
        <v/>
      </c>
      <c r="I209" s="88">
        <f>F203+F176+F151+F112+F64</f>
        <v/>
      </c>
    </row>
    <row r="210" ht="14.25" customHeight="1">
      <c r="B210" s="99" t="inlineStr">
        <is>
          <t>НДС 18%</t>
        </is>
      </c>
      <c r="D210" s="87" t="n"/>
      <c r="E210" s="87" t="n"/>
      <c r="F210" s="18">
        <f>F209*0.18</f>
        <v/>
      </c>
      <c r="G210" s="87" t="n"/>
    </row>
    <row r="211" ht="14.25" customHeight="1">
      <c r="B211" s="99" t="inlineStr">
        <is>
          <t>Всего с НДС</t>
        </is>
      </c>
      <c r="D211" s="87" t="n"/>
      <c r="E211" s="87" t="n"/>
      <c r="F211" s="18">
        <f>F209+F210</f>
        <v/>
      </c>
      <c r="G211" s="87" t="n"/>
    </row>
    <row r="212" ht="24.75" customHeight="1">
      <c r="B212" s="99" t="n"/>
      <c r="D212" s="87" t="n"/>
      <c r="E212" s="87" t="n"/>
      <c r="F212" s="18" t="n"/>
      <c r="L212" s="3" t="n"/>
    </row>
    <row r="213" ht="12.75" customFormat="1" customHeight="1" s="83">
      <c r="B213" s="86" t="inlineStr">
        <is>
          <t>ИСПОЛНИТЕЛЬ:</t>
        </is>
      </c>
      <c r="C213" s="88" t="n"/>
      <c r="D213" s="86" t="n"/>
      <c r="E213" s="86" t="inlineStr">
        <is>
          <t>ЗАКАЗЧИК:</t>
        </is>
      </c>
      <c r="G213" s="3" t="n"/>
      <c r="L213" s="3" t="n"/>
    </row>
    <row r="214" customFormat="1" s="83">
      <c r="A214" s="88" t="inlineStr">
        <is>
          <t>Генеральный директор</t>
        </is>
      </c>
      <c r="B214" s="8" t="n"/>
      <c r="C214" s="8" t="n"/>
      <c r="D214" s="86" t="n"/>
      <c r="E214" s="83" t="inlineStr">
        <is>
          <t xml:space="preserve">И.О.Главного инженера – заместителя </t>
        </is>
      </c>
      <c r="F214" s="104" t="n"/>
      <c r="H214" s="104" t="n"/>
    </row>
    <row r="215" ht="20.25" customFormat="1" customHeight="1" s="83">
      <c r="A215" s="83" t="inlineStr">
        <is>
          <t xml:space="preserve"> </t>
        </is>
      </c>
      <c r="B215" s="8" t="n"/>
      <c r="C215" s="8" t="n"/>
      <c r="D215" s="86" t="n"/>
      <c r="E215" s="83" t="inlineStr">
        <is>
          <t xml:space="preserve">генерального директора </t>
        </is>
      </c>
      <c r="F215" s="104" t="n"/>
      <c r="H215" s="104" t="n"/>
    </row>
    <row r="216" ht="24" customFormat="1" customHeight="1" s="83">
      <c r="A216" s="22" t="inlineStr">
        <is>
          <t>ООО "ЯмалСпецЦентр"</t>
        </is>
      </c>
      <c r="B216" s="8" t="n"/>
      <c r="C216" s="8" t="n"/>
      <c r="D216" s="86" t="n"/>
      <c r="E216" s="83" t="inlineStr">
        <is>
          <t xml:space="preserve">АО "Газпромнефть-Ноябрьскнефтегаз"                                  </t>
        </is>
      </c>
      <c r="F216" s="104" t="n"/>
      <c r="H216" s="104" t="n"/>
    </row>
    <row r="217" ht="26.25" customFormat="1" customHeight="1" s="83">
      <c r="A217" s="88" t="inlineStr">
        <is>
          <t>_________________А.Г. Воронин</t>
        </is>
      </c>
      <c r="B217" s="92" t="n"/>
      <c r="C217" s="92" t="n"/>
      <c r="D217" s="84" t="n"/>
      <c r="E217" s="88" t="inlineStr">
        <is>
          <t>_________________ В.В. Климанов</t>
        </is>
      </c>
      <c r="G217" s="88" t="n"/>
    </row>
    <row r="218" customFormat="1" s="83">
      <c r="A218" s="89" t="inlineStr">
        <is>
          <t xml:space="preserve">                        М.П.</t>
        </is>
      </c>
      <c r="D218" s="86" t="n"/>
      <c r="E218" s="49" t="inlineStr">
        <is>
          <t xml:space="preserve">                        М.П.</t>
        </is>
      </c>
      <c r="F218" s="90" t="n"/>
      <c r="G218" s="49" t="n"/>
      <c r="H218" s="90" t="n"/>
    </row>
    <row r="219" ht="15" customFormat="1" customHeight="1" s="83">
      <c r="A219" s="90" t="n"/>
      <c r="D219" s="10" t="n"/>
      <c r="E219" s="11" t="inlineStr">
        <is>
          <t xml:space="preserve"> Доверенность № Д-324 от 25.12.2017 г..</t>
        </is>
      </c>
      <c r="F219" s="11" t="n"/>
      <c r="G219" s="11" t="n"/>
      <c r="H219" s="11" t="n"/>
    </row>
    <row r="220" ht="13.5" customFormat="1" customHeight="1" s="83">
      <c r="A220" s="30" t="n"/>
      <c r="B220" s="89" t="n"/>
      <c r="C220" s="8" t="n"/>
      <c r="D220" s="98" t="n"/>
      <c r="E220" s="98" t="n"/>
      <c r="F220" s="98" t="n"/>
      <c r="G220" s="98" t="n"/>
    </row>
    <row r="221" customFormat="1" s="83">
      <c r="A221" s="35" t="inlineStr">
        <is>
          <t>СОГЛАСОВАНО:</t>
        </is>
      </c>
      <c r="B221" s="33" t="n"/>
      <c r="C221" s="8" t="n"/>
      <c r="D221" s="86" t="n"/>
      <c r="E221" s="35" t="inlineStr">
        <is>
          <t>СОГЛАСОВАНО:</t>
        </is>
      </c>
      <c r="F221" s="36" t="n"/>
      <c r="G221" s="3" t="n"/>
    </row>
    <row r="222" customFormat="1" s="83">
      <c r="A222" s="32" t="n"/>
      <c r="B222" s="33" t="n"/>
      <c r="C222" s="8" t="n"/>
      <c r="D222" s="86" t="n"/>
      <c r="E222" s="35" t="n"/>
      <c r="F222" s="36" t="n"/>
      <c r="G222" s="3" t="n"/>
    </row>
    <row r="223" ht="18" customFormat="1" customHeight="1" s="83">
      <c r="A223" s="92" t="inlineStr">
        <is>
          <t>Начальник ПЭО</t>
        </is>
      </c>
      <c r="D223" s="84" t="n"/>
      <c r="E223" s="37" t="inlineStr">
        <is>
          <t>Главный механик - начальник УОРНПО</t>
        </is>
      </c>
      <c r="F223" s="88" t="n"/>
      <c r="G223" s="3" t="n"/>
    </row>
    <row r="224" customFormat="1" s="83">
      <c r="A224" s="82" t="n"/>
      <c r="C224" s="84" t="n"/>
      <c r="D224" s="86" t="n"/>
      <c r="E224" s="37" t="n"/>
      <c r="F224" s="34" t="n"/>
      <c r="G224" s="3" t="n"/>
    </row>
    <row r="225" customFormat="1" s="83">
      <c r="A225" s="88" t="inlineStr">
        <is>
          <t xml:space="preserve"> </t>
        </is>
      </c>
      <c r="B225" s="21" t="inlineStr">
        <is>
          <t>_________________А.С. Бойчук</t>
        </is>
      </c>
      <c r="C225" s="47" t="n"/>
      <c r="D225" s="12" t="n"/>
      <c r="E225" s="12" t="inlineStr">
        <is>
          <t>______________С.Ю. Шерстобитов</t>
        </is>
      </c>
      <c r="F225" s="34" t="n"/>
      <c r="G225" s="3" t="n"/>
      <c r="H225" s="19" t="n"/>
    </row>
    <row r="226" customFormat="1" s="83">
      <c r="B226" s="39" t="n"/>
      <c r="C226" s="40" t="n"/>
      <c r="D226" s="12" t="n"/>
      <c r="E226" s="12" t="n"/>
      <c r="F226" s="34" t="n"/>
      <c r="G226" s="3" t="n"/>
      <c r="H226" s="19" t="n"/>
    </row>
    <row r="227" ht="12.75" customFormat="1" customHeight="1" s="83">
      <c r="B227" s="11" t="n"/>
      <c r="C227" s="8" t="n"/>
      <c r="D227" s="84" t="n"/>
      <c r="E227" s="38" t="inlineStr">
        <is>
          <t>Планово-бюджетное управление</t>
        </is>
      </c>
      <c r="F227" s="34" t="n"/>
      <c r="G227" s="3" t="n"/>
    </row>
    <row r="228" ht="15.75" customFormat="1" customHeight="1" s="83">
      <c r="B228" s="88" t="n"/>
      <c r="C228" s="88" t="n"/>
      <c r="D228" s="99" t="n"/>
      <c r="E228" s="14" t="inlineStr">
        <is>
          <t>___________________________</t>
        </is>
      </c>
      <c r="F228" s="34" t="n"/>
      <c r="G228" s="3" t="n"/>
    </row>
    <row r="229" ht="15.75" customFormat="1" customHeight="1" s="83">
      <c r="B229" s="88" t="n"/>
      <c r="C229" s="88" t="n"/>
      <c r="D229" s="14" t="n"/>
      <c r="E229" s="87" t="n"/>
      <c r="F229" s="87" t="n"/>
      <c r="G229" s="3" t="n"/>
    </row>
    <row r="230" ht="6" customHeight="1">
      <c r="B230" s="94" t="n"/>
      <c r="C230" s="87" t="n"/>
      <c r="D230" s="87" t="n"/>
      <c r="E230" s="87" t="n"/>
      <c r="F230" s="87" t="n"/>
      <c r="G230" s="87" t="n"/>
    </row>
    <row r="231" ht="12.75" customHeight="1">
      <c r="B231" s="94" t="n"/>
      <c r="C231" s="87" t="n"/>
      <c r="D231" s="87" t="n"/>
      <c r="E231" s="87" t="n"/>
      <c r="F231" s="87" t="n"/>
      <c r="G231" s="87" t="n"/>
    </row>
  </sheetData>
  <mergeCells count="15">
    <mergeCell ref="A224:B224"/>
    <mergeCell ref="B2:C2"/>
    <mergeCell ref="E6:I6"/>
    <mergeCell ref="E213:F213"/>
    <mergeCell ref="E16:E18"/>
    <mergeCell ref="C16:C18"/>
    <mergeCell ref="A218:C218"/>
    <mergeCell ref="F16:F18"/>
    <mergeCell ref="A219:C219"/>
    <mergeCell ref="B5:C6"/>
    <mergeCell ref="E5:F5"/>
    <mergeCell ref="A223:C223"/>
    <mergeCell ref="D16:D18"/>
    <mergeCell ref="B16:B18"/>
    <mergeCell ref="E2:H2"/>
  </mergeCells>
  <printOptions horizontalCentered="1"/>
  <pageMargins left="0.5905511811023623" right="0.1968503937007874" top="0.984251968503937" bottom="0.7874015748031497" header="0.1181102362204725" footer="0.3149606299212598"/>
  <pageSetup orientation="portrait" paperSize="9" scale="8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6"/>
  <sheetViews>
    <sheetView showZeros="0" view="pageBreakPreview" topLeftCell="A362" zoomScaleNormal="110" zoomScaleSheetLayoutView="100" workbookViewId="0">
      <selection activeCell="C398" sqref="C398"/>
    </sheetView>
  </sheetViews>
  <sheetFormatPr baseColWidth="8" defaultRowHeight="12.75" outlineLevelCol="0"/>
  <cols>
    <col width="2.5703125" customWidth="1" style="88" min="1" max="1"/>
    <col width="5.85546875" customWidth="1" style="88" min="2" max="2"/>
    <col width="40.5703125" customWidth="1" style="88" min="3" max="3"/>
    <col width="13.85546875" customWidth="1" style="88" min="4" max="4"/>
    <col width="19.140625" customWidth="1" style="88" min="5" max="5"/>
    <col width="28" customWidth="1" style="88" min="6" max="6"/>
    <col width="5" customWidth="1" style="88" min="7" max="7"/>
    <col width="14.7109375" customWidth="1" style="88" min="8" max="8"/>
    <col width="16.140625" customWidth="1" style="88" min="9" max="9"/>
    <col width="14.140625" customWidth="1" style="88" min="10" max="10"/>
    <col width="11" bestFit="1" customWidth="1" style="88" min="11" max="12"/>
    <col width="9.140625" customWidth="1" style="88" min="13" max="254"/>
    <col width="2" customWidth="1" style="88" min="255" max="255"/>
    <col width="5.85546875" customWidth="1" style="88" min="256" max="256"/>
    <col width="38.5703125" customWidth="1" style="88" min="257" max="257"/>
    <col width="10" customWidth="1" style="88" min="258" max="258"/>
    <col width="21.5703125" customWidth="1" style="88" min="259" max="259"/>
    <col width="22.7109375" customWidth="1" style="88" min="260" max="260"/>
    <col width="0.28515625" customWidth="1" style="88" min="261" max="261"/>
    <col hidden="1" width="13" customWidth="1" style="88" min="262" max="262"/>
    <col width="9.140625" customWidth="1" style="88" min="263" max="265"/>
    <col width="14.140625" customWidth="1" style="88" min="266" max="266"/>
    <col width="9.140625" customWidth="1" style="88" min="267" max="510"/>
    <col width="2" customWidth="1" style="88" min="511" max="511"/>
    <col width="5.85546875" customWidth="1" style="88" min="512" max="512"/>
    <col width="38.5703125" customWidth="1" style="88" min="513" max="513"/>
    <col width="10" customWidth="1" style="88" min="514" max="514"/>
    <col width="21.5703125" customWidth="1" style="88" min="515" max="515"/>
    <col width="22.7109375" customWidth="1" style="88" min="516" max="516"/>
    <col width="0.28515625" customWidth="1" style="88" min="517" max="517"/>
    <col hidden="1" width="13" customWidth="1" style="88" min="518" max="518"/>
    <col width="9.140625" customWidth="1" style="88" min="519" max="521"/>
    <col width="14.140625" customWidth="1" style="88" min="522" max="522"/>
    <col width="9.140625" customWidth="1" style="88" min="523" max="766"/>
    <col width="2" customWidth="1" style="88" min="767" max="767"/>
    <col width="5.85546875" customWidth="1" style="88" min="768" max="768"/>
    <col width="38.5703125" customWidth="1" style="88" min="769" max="769"/>
    <col width="10" customWidth="1" style="88" min="770" max="770"/>
    <col width="21.5703125" customWidth="1" style="88" min="771" max="771"/>
    <col width="22.7109375" customWidth="1" style="88" min="772" max="772"/>
    <col width="0.28515625" customWidth="1" style="88" min="773" max="773"/>
    <col hidden="1" width="13" customWidth="1" style="88" min="774" max="774"/>
    <col width="9.140625" customWidth="1" style="88" min="775" max="777"/>
    <col width="14.140625" customWidth="1" style="88" min="778" max="778"/>
    <col width="9.140625" customWidth="1" style="88" min="779" max="1022"/>
    <col width="2" customWidth="1" style="88" min="1023" max="1023"/>
    <col width="5.85546875" customWidth="1" style="88" min="1024" max="1024"/>
    <col width="38.5703125" customWidth="1" style="88" min="1025" max="1025"/>
    <col width="10" customWidth="1" style="88" min="1026" max="1026"/>
    <col width="21.5703125" customWidth="1" style="88" min="1027" max="1027"/>
    <col width="22.7109375" customWidth="1" style="88" min="1028" max="1028"/>
    <col width="0.28515625" customWidth="1" style="88" min="1029" max="1029"/>
    <col hidden="1" width="13" customWidth="1" style="88" min="1030" max="1030"/>
    <col width="9.140625" customWidth="1" style="88" min="1031" max="1033"/>
    <col width="14.140625" customWidth="1" style="88" min="1034" max="1034"/>
    <col width="9.140625" customWidth="1" style="88" min="1035" max="1278"/>
    <col width="2" customWidth="1" style="88" min="1279" max="1279"/>
    <col width="5.85546875" customWidth="1" style="88" min="1280" max="1280"/>
    <col width="38.5703125" customWidth="1" style="88" min="1281" max="1281"/>
    <col width="10" customWidth="1" style="88" min="1282" max="1282"/>
    <col width="21.5703125" customWidth="1" style="88" min="1283" max="1283"/>
    <col width="22.7109375" customWidth="1" style="88" min="1284" max="1284"/>
    <col width="0.28515625" customWidth="1" style="88" min="1285" max="1285"/>
    <col hidden="1" width="13" customWidth="1" style="88" min="1286" max="1286"/>
    <col width="9.140625" customWidth="1" style="88" min="1287" max="1289"/>
    <col width="14.140625" customWidth="1" style="88" min="1290" max="1290"/>
    <col width="9.140625" customWidth="1" style="88" min="1291" max="1534"/>
    <col width="2" customWidth="1" style="88" min="1535" max="1535"/>
    <col width="5.85546875" customWidth="1" style="88" min="1536" max="1536"/>
    <col width="38.5703125" customWidth="1" style="88" min="1537" max="1537"/>
    <col width="10" customWidth="1" style="88" min="1538" max="1538"/>
    <col width="21.5703125" customWidth="1" style="88" min="1539" max="1539"/>
    <col width="22.7109375" customWidth="1" style="88" min="1540" max="1540"/>
    <col width="0.28515625" customWidth="1" style="88" min="1541" max="1541"/>
    <col hidden="1" width="13" customWidth="1" style="88" min="1542" max="1542"/>
    <col width="9.140625" customWidth="1" style="88" min="1543" max="1545"/>
    <col width="14.140625" customWidth="1" style="88" min="1546" max="1546"/>
    <col width="9.140625" customWidth="1" style="88" min="1547" max="1790"/>
    <col width="2" customWidth="1" style="88" min="1791" max="1791"/>
    <col width="5.85546875" customWidth="1" style="88" min="1792" max="1792"/>
    <col width="38.5703125" customWidth="1" style="88" min="1793" max="1793"/>
    <col width="10" customWidth="1" style="88" min="1794" max="1794"/>
    <col width="21.5703125" customWidth="1" style="88" min="1795" max="1795"/>
    <col width="22.7109375" customWidth="1" style="88" min="1796" max="1796"/>
    <col width="0.28515625" customWidth="1" style="88" min="1797" max="1797"/>
    <col hidden="1" width="13" customWidth="1" style="88" min="1798" max="1798"/>
    <col width="9.140625" customWidth="1" style="88" min="1799" max="1801"/>
    <col width="14.140625" customWidth="1" style="88" min="1802" max="1802"/>
    <col width="9.140625" customWidth="1" style="88" min="1803" max="2046"/>
    <col width="2" customWidth="1" style="88" min="2047" max="2047"/>
    <col width="5.85546875" customWidth="1" style="88" min="2048" max="2048"/>
    <col width="38.5703125" customWidth="1" style="88" min="2049" max="2049"/>
    <col width="10" customWidth="1" style="88" min="2050" max="2050"/>
    <col width="21.5703125" customWidth="1" style="88" min="2051" max="2051"/>
    <col width="22.7109375" customWidth="1" style="88" min="2052" max="2052"/>
    <col width="0.28515625" customWidth="1" style="88" min="2053" max="2053"/>
    <col hidden="1" width="13" customWidth="1" style="88" min="2054" max="2054"/>
    <col width="9.140625" customWidth="1" style="88" min="2055" max="2057"/>
    <col width="14.140625" customWidth="1" style="88" min="2058" max="2058"/>
    <col width="9.140625" customWidth="1" style="88" min="2059" max="2302"/>
    <col width="2" customWidth="1" style="88" min="2303" max="2303"/>
    <col width="5.85546875" customWidth="1" style="88" min="2304" max="2304"/>
    <col width="38.5703125" customWidth="1" style="88" min="2305" max="2305"/>
    <col width="10" customWidth="1" style="88" min="2306" max="2306"/>
    <col width="21.5703125" customWidth="1" style="88" min="2307" max="2307"/>
    <col width="22.7109375" customWidth="1" style="88" min="2308" max="2308"/>
    <col width="0.28515625" customWidth="1" style="88" min="2309" max="2309"/>
    <col hidden="1" width="13" customWidth="1" style="88" min="2310" max="2310"/>
    <col width="9.140625" customWidth="1" style="88" min="2311" max="2313"/>
    <col width="14.140625" customWidth="1" style="88" min="2314" max="2314"/>
    <col width="9.140625" customWidth="1" style="88" min="2315" max="2558"/>
    <col width="2" customWidth="1" style="88" min="2559" max="2559"/>
    <col width="5.85546875" customWidth="1" style="88" min="2560" max="2560"/>
    <col width="38.5703125" customWidth="1" style="88" min="2561" max="2561"/>
    <col width="10" customWidth="1" style="88" min="2562" max="2562"/>
    <col width="21.5703125" customWidth="1" style="88" min="2563" max="2563"/>
    <col width="22.7109375" customWidth="1" style="88" min="2564" max="2564"/>
    <col width="0.28515625" customWidth="1" style="88" min="2565" max="2565"/>
    <col hidden="1" width="13" customWidth="1" style="88" min="2566" max="2566"/>
    <col width="9.140625" customWidth="1" style="88" min="2567" max="2569"/>
    <col width="14.140625" customWidth="1" style="88" min="2570" max="2570"/>
    <col width="9.140625" customWidth="1" style="88" min="2571" max="2814"/>
    <col width="2" customWidth="1" style="88" min="2815" max="2815"/>
    <col width="5.85546875" customWidth="1" style="88" min="2816" max="2816"/>
    <col width="38.5703125" customWidth="1" style="88" min="2817" max="2817"/>
    <col width="10" customWidth="1" style="88" min="2818" max="2818"/>
    <col width="21.5703125" customWidth="1" style="88" min="2819" max="2819"/>
    <col width="22.7109375" customWidth="1" style="88" min="2820" max="2820"/>
    <col width="0.28515625" customWidth="1" style="88" min="2821" max="2821"/>
    <col hidden="1" width="13" customWidth="1" style="88" min="2822" max="2822"/>
    <col width="9.140625" customWidth="1" style="88" min="2823" max="2825"/>
    <col width="14.140625" customWidth="1" style="88" min="2826" max="2826"/>
    <col width="9.140625" customWidth="1" style="88" min="2827" max="3070"/>
    <col width="2" customWidth="1" style="88" min="3071" max="3071"/>
    <col width="5.85546875" customWidth="1" style="88" min="3072" max="3072"/>
    <col width="38.5703125" customWidth="1" style="88" min="3073" max="3073"/>
    <col width="10" customWidth="1" style="88" min="3074" max="3074"/>
    <col width="21.5703125" customWidth="1" style="88" min="3075" max="3075"/>
    <col width="22.7109375" customWidth="1" style="88" min="3076" max="3076"/>
    <col width="0.28515625" customWidth="1" style="88" min="3077" max="3077"/>
    <col hidden="1" width="13" customWidth="1" style="88" min="3078" max="3078"/>
    <col width="9.140625" customWidth="1" style="88" min="3079" max="3081"/>
    <col width="14.140625" customWidth="1" style="88" min="3082" max="3082"/>
    <col width="9.140625" customWidth="1" style="88" min="3083" max="3326"/>
    <col width="2" customWidth="1" style="88" min="3327" max="3327"/>
    <col width="5.85546875" customWidth="1" style="88" min="3328" max="3328"/>
    <col width="38.5703125" customWidth="1" style="88" min="3329" max="3329"/>
    <col width="10" customWidth="1" style="88" min="3330" max="3330"/>
    <col width="21.5703125" customWidth="1" style="88" min="3331" max="3331"/>
    <col width="22.7109375" customWidth="1" style="88" min="3332" max="3332"/>
    <col width="0.28515625" customWidth="1" style="88" min="3333" max="3333"/>
    <col hidden="1" width="13" customWidth="1" style="88" min="3334" max="3334"/>
    <col width="9.140625" customWidth="1" style="88" min="3335" max="3337"/>
    <col width="14.140625" customWidth="1" style="88" min="3338" max="3338"/>
    <col width="9.140625" customWidth="1" style="88" min="3339" max="3582"/>
    <col width="2" customWidth="1" style="88" min="3583" max="3583"/>
    <col width="5.85546875" customWidth="1" style="88" min="3584" max="3584"/>
    <col width="38.5703125" customWidth="1" style="88" min="3585" max="3585"/>
    <col width="10" customWidth="1" style="88" min="3586" max="3586"/>
    <col width="21.5703125" customWidth="1" style="88" min="3587" max="3587"/>
    <col width="22.7109375" customWidth="1" style="88" min="3588" max="3588"/>
    <col width="0.28515625" customWidth="1" style="88" min="3589" max="3589"/>
    <col hidden="1" width="13" customWidth="1" style="88" min="3590" max="3590"/>
    <col width="9.140625" customWidth="1" style="88" min="3591" max="3593"/>
    <col width="14.140625" customWidth="1" style="88" min="3594" max="3594"/>
    <col width="9.140625" customWidth="1" style="88" min="3595" max="3838"/>
    <col width="2" customWidth="1" style="88" min="3839" max="3839"/>
    <col width="5.85546875" customWidth="1" style="88" min="3840" max="3840"/>
    <col width="38.5703125" customWidth="1" style="88" min="3841" max="3841"/>
    <col width="10" customWidth="1" style="88" min="3842" max="3842"/>
    <col width="21.5703125" customWidth="1" style="88" min="3843" max="3843"/>
    <col width="22.7109375" customWidth="1" style="88" min="3844" max="3844"/>
    <col width="0.28515625" customWidth="1" style="88" min="3845" max="3845"/>
    <col hidden="1" width="13" customWidth="1" style="88" min="3846" max="3846"/>
    <col width="9.140625" customWidth="1" style="88" min="3847" max="3849"/>
    <col width="14.140625" customWidth="1" style="88" min="3850" max="3850"/>
    <col width="9.140625" customWidth="1" style="88" min="3851" max="4094"/>
    <col width="2" customWidth="1" style="88" min="4095" max="4095"/>
    <col width="5.85546875" customWidth="1" style="88" min="4096" max="4096"/>
    <col width="38.5703125" customWidth="1" style="88" min="4097" max="4097"/>
    <col width="10" customWidth="1" style="88" min="4098" max="4098"/>
    <col width="21.5703125" customWidth="1" style="88" min="4099" max="4099"/>
    <col width="22.7109375" customWidth="1" style="88" min="4100" max="4100"/>
    <col width="0.28515625" customWidth="1" style="88" min="4101" max="4101"/>
    <col hidden="1" width="13" customWidth="1" style="88" min="4102" max="4102"/>
    <col width="9.140625" customWidth="1" style="88" min="4103" max="4105"/>
    <col width="14.140625" customWidth="1" style="88" min="4106" max="4106"/>
    <col width="9.140625" customWidth="1" style="88" min="4107" max="4350"/>
    <col width="2" customWidth="1" style="88" min="4351" max="4351"/>
    <col width="5.85546875" customWidth="1" style="88" min="4352" max="4352"/>
    <col width="38.5703125" customWidth="1" style="88" min="4353" max="4353"/>
    <col width="10" customWidth="1" style="88" min="4354" max="4354"/>
    <col width="21.5703125" customWidth="1" style="88" min="4355" max="4355"/>
    <col width="22.7109375" customWidth="1" style="88" min="4356" max="4356"/>
    <col width="0.28515625" customWidth="1" style="88" min="4357" max="4357"/>
    <col hidden="1" width="13" customWidth="1" style="88" min="4358" max="4358"/>
    <col width="9.140625" customWidth="1" style="88" min="4359" max="4361"/>
    <col width="14.140625" customWidth="1" style="88" min="4362" max="4362"/>
    <col width="9.140625" customWidth="1" style="88" min="4363" max="4606"/>
    <col width="2" customWidth="1" style="88" min="4607" max="4607"/>
    <col width="5.85546875" customWidth="1" style="88" min="4608" max="4608"/>
    <col width="38.5703125" customWidth="1" style="88" min="4609" max="4609"/>
    <col width="10" customWidth="1" style="88" min="4610" max="4610"/>
    <col width="21.5703125" customWidth="1" style="88" min="4611" max="4611"/>
    <col width="22.7109375" customWidth="1" style="88" min="4612" max="4612"/>
    <col width="0.28515625" customWidth="1" style="88" min="4613" max="4613"/>
    <col hidden="1" width="13" customWidth="1" style="88" min="4614" max="4614"/>
    <col width="9.140625" customWidth="1" style="88" min="4615" max="4617"/>
    <col width="14.140625" customWidth="1" style="88" min="4618" max="4618"/>
    <col width="9.140625" customWidth="1" style="88" min="4619" max="4862"/>
    <col width="2" customWidth="1" style="88" min="4863" max="4863"/>
    <col width="5.85546875" customWidth="1" style="88" min="4864" max="4864"/>
    <col width="38.5703125" customWidth="1" style="88" min="4865" max="4865"/>
    <col width="10" customWidth="1" style="88" min="4866" max="4866"/>
    <col width="21.5703125" customWidth="1" style="88" min="4867" max="4867"/>
    <col width="22.7109375" customWidth="1" style="88" min="4868" max="4868"/>
    <col width="0.28515625" customWidth="1" style="88" min="4869" max="4869"/>
    <col hidden="1" width="13" customWidth="1" style="88" min="4870" max="4870"/>
    <col width="9.140625" customWidth="1" style="88" min="4871" max="4873"/>
    <col width="14.140625" customWidth="1" style="88" min="4874" max="4874"/>
    <col width="9.140625" customWidth="1" style="88" min="4875" max="5118"/>
    <col width="2" customWidth="1" style="88" min="5119" max="5119"/>
    <col width="5.85546875" customWidth="1" style="88" min="5120" max="5120"/>
    <col width="38.5703125" customWidth="1" style="88" min="5121" max="5121"/>
    <col width="10" customWidth="1" style="88" min="5122" max="5122"/>
    <col width="21.5703125" customWidth="1" style="88" min="5123" max="5123"/>
    <col width="22.7109375" customWidth="1" style="88" min="5124" max="5124"/>
    <col width="0.28515625" customWidth="1" style="88" min="5125" max="5125"/>
    <col hidden="1" width="13" customWidth="1" style="88" min="5126" max="5126"/>
    <col width="9.140625" customWidth="1" style="88" min="5127" max="5129"/>
    <col width="14.140625" customWidth="1" style="88" min="5130" max="5130"/>
    <col width="9.140625" customWidth="1" style="88" min="5131" max="5374"/>
    <col width="2" customWidth="1" style="88" min="5375" max="5375"/>
    <col width="5.85546875" customWidth="1" style="88" min="5376" max="5376"/>
    <col width="38.5703125" customWidth="1" style="88" min="5377" max="5377"/>
    <col width="10" customWidth="1" style="88" min="5378" max="5378"/>
    <col width="21.5703125" customWidth="1" style="88" min="5379" max="5379"/>
    <col width="22.7109375" customWidth="1" style="88" min="5380" max="5380"/>
    <col width="0.28515625" customWidth="1" style="88" min="5381" max="5381"/>
    <col hidden="1" width="13" customWidth="1" style="88" min="5382" max="5382"/>
    <col width="9.140625" customWidth="1" style="88" min="5383" max="5385"/>
    <col width="14.140625" customWidth="1" style="88" min="5386" max="5386"/>
    <col width="9.140625" customWidth="1" style="88" min="5387" max="5630"/>
    <col width="2" customWidth="1" style="88" min="5631" max="5631"/>
    <col width="5.85546875" customWidth="1" style="88" min="5632" max="5632"/>
    <col width="38.5703125" customWidth="1" style="88" min="5633" max="5633"/>
    <col width="10" customWidth="1" style="88" min="5634" max="5634"/>
    <col width="21.5703125" customWidth="1" style="88" min="5635" max="5635"/>
    <col width="22.7109375" customWidth="1" style="88" min="5636" max="5636"/>
    <col width="0.28515625" customWidth="1" style="88" min="5637" max="5637"/>
    <col hidden="1" width="13" customWidth="1" style="88" min="5638" max="5638"/>
    <col width="9.140625" customWidth="1" style="88" min="5639" max="5641"/>
    <col width="14.140625" customWidth="1" style="88" min="5642" max="5642"/>
    <col width="9.140625" customWidth="1" style="88" min="5643" max="5886"/>
    <col width="2" customWidth="1" style="88" min="5887" max="5887"/>
    <col width="5.85546875" customWidth="1" style="88" min="5888" max="5888"/>
    <col width="38.5703125" customWidth="1" style="88" min="5889" max="5889"/>
    <col width="10" customWidth="1" style="88" min="5890" max="5890"/>
    <col width="21.5703125" customWidth="1" style="88" min="5891" max="5891"/>
    <col width="22.7109375" customWidth="1" style="88" min="5892" max="5892"/>
    <col width="0.28515625" customWidth="1" style="88" min="5893" max="5893"/>
    <col hidden="1" width="13" customWidth="1" style="88" min="5894" max="5894"/>
    <col width="9.140625" customWidth="1" style="88" min="5895" max="5897"/>
    <col width="14.140625" customWidth="1" style="88" min="5898" max="5898"/>
    <col width="9.140625" customWidth="1" style="88" min="5899" max="6142"/>
    <col width="2" customWidth="1" style="88" min="6143" max="6143"/>
    <col width="5.85546875" customWidth="1" style="88" min="6144" max="6144"/>
    <col width="38.5703125" customWidth="1" style="88" min="6145" max="6145"/>
    <col width="10" customWidth="1" style="88" min="6146" max="6146"/>
    <col width="21.5703125" customWidth="1" style="88" min="6147" max="6147"/>
    <col width="22.7109375" customWidth="1" style="88" min="6148" max="6148"/>
    <col width="0.28515625" customWidth="1" style="88" min="6149" max="6149"/>
    <col hidden="1" width="13" customWidth="1" style="88" min="6150" max="6150"/>
    <col width="9.140625" customWidth="1" style="88" min="6151" max="6153"/>
    <col width="14.140625" customWidth="1" style="88" min="6154" max="6154"/>
    <col width="9.140625" customWidth="1" style="88" min="6155" max="6398"/>
    <col width="2" customWidth="1" style="88" min="6399" max="6399"/>
    <col width="5.85546875" customWidth="1" style="88" min="6400" max="6400"/>
    <col width="38.5703125" customWidth="1" style="88" min="6401" max="6401"/>
    <col width="10" customWidth="1" style="88" min="6402" max="6402"/>
    <col width="21.5703125" customWidth="1" style="88" min="6403" max="6403"/>
    <col width="22.7109375" customWidth="1" style="88" min="6404" max="6404"/>
    <col width="0.28515625" customWidth="1" style="88" min="6405" max="6405"/>
    <col hidden="1" width="13" customWidth="1" style="88" min="6406" max="6406"/>
    <col width="9.140625" customWidth="1" style="88" min="6407" max="6409"/>
    <col width="14.140625" customWidth="1" style="88" min="6410" max="6410"/>
    <col width="9.140625" customWidth="1" style="88" min="6411" max="6654"/>
    <col width="2" customWidth="1" style="88" min="6655" max="6655"/>
    <col width="5.85546875" customWidth="1" style="88" min="6656" max="6656"/>
    <col width="38.5703125" customWidth="1" style="88" min="6657" max="6657"/>
    <col width="10" customWidth="1" style="88" min="6658" max="6658"/>
    <col width="21.5703125" customWidth="1" style="88" min="6659" max="6659"/>
    <col width="22.7109375" customWidth="1" style="88" min="6660" max="6660"/>
    <col width="0.28515625" customWidth="1" style="88" min="6661" max="6661"/>
    <col hidden="1" width="13" customWidth="1" style="88" min="6662" max="6662"/>
    <col width="9.140625" customWidth="1" style="88" min="6663" max="6665"/>
    <col width="14.140625" customWidth="1" style="88" min="6666" max="6666"/>
    <col width="9.140625" customWidth="1" style="88" min="6667" max="6910"/>
    <col width="2" customWidth="1" style="88" min="6911" max="6911"/>
    <col width="5.85546875" customWidth="1" style="88" min="6912" max="6912"/>
    <col width="38.5703125" customWidth="1" style="88" min="6913" max="6913"/>
    <col width="10" customWidth="1" style="88" min="6914" max="6914"/>
    <col width="21.5703125" customWidth="1" style="88" min="6915" max="6915"/>
    <col width="22.7109375" customWidth="1" style="88" min="6916" max="6916"/>
    <col width="0.28515625" customWidth="1" style="88" min="6917" max="6917"/>
    <col hidden="1" width="13" customWidth="1" style="88" min="6918" max="6918"/>
    <col width="9.140625" customWidth="1" style="88" min="6919" max="6921"/>
    <col width="14.140625" customWidth="1" style="88" min="6922" max="6922"/>
    <col width="9.140625" customWidth="1" style="88" min="6923" max="7166"/>
    <col width="2" customWidth="1" style="88" min="7167" max="7167"/>
    <col width="5.85546875" customWidth="1" style="88" min="7168" max="7168"/>
    <col width="38.5703125" customWidth="1" style="88" min="7169" max="7169"/>
    <col width="10" customWidth="1" style="88" min="7170" max="7170"/>
    <col width="21.5703125" customWidth="1" style="88" min="7171" max="7171"/>
    <col width="22.7109375" customWidth="1" style="88" min="7172" max="7172"/>
    <col width="0.28515625" customWidth="1" style="88" min="7173" max="7173"/>
    <col hidden="1" width="13" customWidth="1" style="88" min="7174" max="7174"/>
    <col width="9.140625" customWidth="1" style="88" min="7175" max="7177"/>
    <col width="14.140625" customWidth="1" style="88" min="7178" max="7178"/>
    <col width="9.140625" customWidth="1" style="88" min="7179" max="7422"/>
    <col width="2" customWidth="1" style="88" min="7423" max="7423"/>
    <col width="5.85546875" customWidth="1" style="88" min="7424" max="7424"/>
    <col width="38.5703125" customWidth="1" style="88" min="7425" max="7425"/>
    <col width="10" customWidth="1" style="88" min="7426" max="7426"/>
    <col width="21.5703125" customWidth="1" style="88" min="7427" max="7427"/>
    <col width="22.7109375" customWidth="1" style="88" min="7428" max="7428"/>
    <col width="0.28515625" customWidth="1" style="88" min="7429" max="7429"/>
    <col hidden="1" width="13" customWidth="1" style="88" min="7430" max="7430"/>
    <col width="9.140625" customWidth="1" style="88" min="7431" max="7433"/>
    <col width="14.140625" customWidth="1" style="88" min="7434" max="7434"/>
    <col width="9.140625" customWidth="1" style="88" min="7435" max="7678"/>
    <col width="2" customWidth="1" style="88" min="7679" max="7679"/>
    <col width="5.85546875" customWidth="1" style="88" min="7680" max="7680"/>
    <col width="38.5703125" customWidth="1" style="88" min="7681" max="7681"/>
    <col width="10" customWidth="1" style="88" min="7682" max="7682"/>
    <col width="21.5703125" customWidth="1" style="88" min="7683" max="7683"/>
    <col width="22.7109375" customWidth="1" style="88" min="7684" max="7684"/>
    <col width="0.28515625" customWidth="1" style="88" min="7685" max="7685"/>
    <col hidden="1" width="13" customWidth="1" style="88" min="7686" max="7686"/>
    <col width="9.140625" customWidth="1" style="88" min="7687" max="7689"/>
    <col width="14.140625" customWidth="1" style="88" min="7690" max="7690"/>
    <col width="9.140625" customWidth="1" style="88" min="7691" max="7934"/>
    <col width="2" customWidth="1" style="88" min="7935" max="7935"/>
    <col width="5.85546875" customWidth="1" style="88" min="7936" max="7936"/>
    <col width="38.5703125" customWidth="1" style="88" min="7937" max="7937"/>
    <col width="10" customWidth="1" style="88" min="7938" max="7938"/>
    <col width="21.5703125" customWidth="1" style="88" min="7939" max="7939"/>
    <col width="22.7109375" customWidth="1" style="88" min="7940" max="7940"/>
    <col width="0.28515625" customWidth="1" style="88" min="7941" max="7941"/>
    <col hidden="1" width="13" customWidth="1" style="88" min="7942" max="7942"/>
    <col width="9.140625" customWidth="1" style="88" min="7943" max="7945"/>
    <col width="14.140625" customWidth="1" style="88" min="7946" max="7946"/>
    <col width="9.140625" customWidth="1" style="88" min="7947" max="8190"/>
    <col width="2" customWidth="1" style="88" min="8191" max="8191"/>
    <col width="5.85546875" customWidth="1" style="88" min="8192" max="8192"/>
    <col width="38.5703125" customWidth="1" style="88" min="8193" max="8193"/>
    <col width="10" customWidth="1" style="88" min="8194" max="8194"/>
    <col width="21.5703125" customWidth="1" style="88" min="8195" max="8195"/>
    <col width="22.7109375" customWidth="1" style="88" min="8196" max="8196"/>
    <col width="0.28515625" customWidth="1" style="88" min="8197" max="8197"/>
    <col hidden="1" width="13" customWidth="1" style="88" min="8198" max="8198"/>
    <col width="9.140625" customWidth="1" style="88" min="8199" max="8201"/>
    <col width="14.140625" customWidth="1" style="88" min="8202" max="8202"/>
    <col width="9.140625" customWidth="1" style="88" min="8203" max="8446"/>
    <col width="2" customWidth="1" style="88" min="8447" max="8447"/>
    <col width="5.85546875" customWidth="1" style="88" min="8448" max="8448"/>
    <col width="38.5703125" customWidth="1" style="88" min="8449" max="8449"/>
    <col width="10" customWidth="1" style="88" min="8450" max="8450"/>
    <col width="21.5703125" customWidth="1" style="88" min="8451" max="8451"/>
    <col width="22.7109375" customWidth="1" style="88" min="8452" max="8452"/>
    <col width="0.28515625" customWidth="1" style="88" min="8453" max="8453"/>
    <col hidden="1" width="13" customWidth="1" style="88" min="8454" max="8454"/>
    <col width="9.140625" customWidth="1" style="88" min="8455" max="8457"/>
    <col width="14.140625" customWidth="1" style="88" min="8458" max="8458"/>
    <col width="9.140625" customWidth="1" style="88" min="8459" max="8702"/>
    <col width="2" customWidth="1" style="88" min="8703" max="8703"/>
    <col width="5.85546875" customWidth="1" style="88" min="8704" max="8704"/>
    <col width="38.5703125" customWidth="1" style="88" min="8705" max="8705"/>
    <col width="10" customWidth="1" style="88" min="8706" max="8706"/>
    <col width="21.5703125" customWidth="1" style="88" min="8707" max="8707"/>
    <col width="22.7109375" customWidth="1" style="88" min="8708" max="8708"/>
    <col width="0.28515625" customWidth="1" style="88" min="8709" max="8709"/>
    <col hidden="1" width="13" customWidth="1" style="88" min="8710" max="8710"/>
    <col width="9.140625" customWidth="1" style="88" min="8711" max="8713"/>
    <col width="14.140625" customWidth="1" style="88" min="8714" max="8714"/>
    <col width="9.140625" customWidth="1" style="88" min="8715" max="8958"/>
    <col width="2" customWidth="1" style="88" min="8959" max="8959"/>
    <col width="5.85546875" customWidth="1" style="88" min="8960" max="8960"/>
    <col width="38.5703125" customWidth="1" style="88" min="8961" max="8961"/>
    <col width="10" customWidth="1" style="88" min="8962" max="8962"/>
    <col width="21.5703125" customWidth="1" style="88" min="8963" max="8963"/>
    <col width="22.7109375" customWidth="1" style="88" min="8964" max="8964"/>
    <col width="0.28515625" customWidth="1" style="88" min="8965" max="8965"/>
    <col hidden="1" width="13" customWidth="1" style="88" min="8966" max="8966"/>
    <col width="9.140625" customWidth="1" style="88" min="8967" max="8969"/>
    <col width="14.140625" customWidth="1" style="88" min="8970" max="8970"/>
    <col width="9.140625" customWidth="1" style="88" min="8971" max="9214"/>
    <col width="2" customWidth="1" style="88" min="9215" max="9215"/>
    <col width="5.85546875" customWidth="1" style="88" min="9216" max="9216"/>
    <col width="38.5703125" customWidth="1" style="88" min="9217" max="9217"/>
    <col width="10" customWidth="1" style="88" min="9218" max="9218"/>
    <col width="21.5703125" customWidth="1" style="88" min="9219" max="9219"/>
    <col width="22.7109375" customWidth="1" style="88" min="9220" max="9220"/>
    <col width="0.28515625" customWidth="1" style="88" min="9221" max="9221"/>
    <col hidden="1" width="13" customWidth="1" style="88" min="9222" max="9222"/>
    <col width="9.140625" customWidth="1" style="88" min="9223" max="9225"/>
    <col width="14.140625" customWidth="1" style="88" min="9226" max="9226"/>
    <col width="9.140625" customWidth="1" style="88" min="9227" max="9470"/>
    <col width="2" customWidth="1" style="88" min="9471" max="9471"/>
    <col width="5.85546875" customWidth="1" style="88" min="9472" max="9472"/>
    <col width="38.5703125" customWidth="1" style="88" min="9473" max="9473"/>
    <col width="10" customWidth="1" style="88" min="9474" max="9474"/>
    <col width="21.5703125" customWidth="1" style="88" min="9475" max="9475"/>
    <col width="22.7109375" customWidth="1" style="88" min="9476" max="9476"/>
    <col width="0.28515625" customWidth="1" style="88" min="9477" max="9477"/>
    <col hidden="1" width="13" customWidth="1" style="88" min="9478" max="9478"/>
    <col width="9.140625" customWidth="1" style="88" min="9479" max="9481"/>
    <col width="14.140625" customWidth="1" style="88" min="9482" max="9482"/>
    <col width="9.140625" customWidth="1" style="88" min="9483" max="9726"/>
    <col width="2" customWidth="1" style="88" min="9727" max="9727"/>
    <col width="5.85546875" customWidth="1" style="88" min="9728" max="9728"/>
    <col width="38.5703125" customWidth="1" style="88" min="9729" max="9729"/>
    <col width="10" customWidth="1" style="88" min="9730" max="9730"/>
    <col width="21.5703125" customWidth="1" style="88" min="9731" max="9731"/>
    <col width="22.7109375" customWidth="1" style="88" min="9732" max="9732"/>
    <col width="0.28515625" customWidth="1" style="88" min="9733" max="9733"/>
    <col hidden="1" width="13" customWidth="1" style="88" min="9734" max="9734"/>
    <col width="9.140625" customWidth="1" style="88" min="9735" max="9737"/>
    <col width="14.140625" customWidth="1" style="88" min="9738" max="9738"/>
    <col width="9.140625" customWidth="1" style="88" min="9739" max="9982"/>
    <col width="2" customWidth="1" style="88" min="9983" max="9983"/>
    <col width="5.85546875" customWidth="1" style="88" min="9984" max="9984"/>
    <col width="38.5703125" customWidth="1" style="88" min="9985" max="9985"/>
    <col width="10" customWidth="1" style="88" min="9986" max="9986"/>
    <col width="21.5703125" customWidth="1" style="88" min="9987" max="9987"/>
    <col width="22.7109375" customWidth="1" style="88" min="9988" max="9988"/>
    <col width="0.28515625" customWidth="1" style="88" min="9989" max="9989"/>
    <col hidden="1" width="13" customWidth="1" style="88" min="9990" max="9990"/>
    <col width="9.140625" customWidth="1" style="88" min="9991" max="9993"/>
    <col width="14.140625" customWidth="1" style="88" min="9994" max="9994"/>
    <col width="9.140625" customWidth="1" style="88" min="9995" max="10238"/>
    <col width="2" customWidth="1" style="88" min="10239" max="10239"/>
    <col width="5.85546875" customWidth="1" style="88" min="10240" max="10240"/>
    <col width="38.5703125" customWidth="1" style="88" min="10241" max="10241"/>
    <col width="10" customWidth="1" style="88" min="10242" max="10242"/>
    <col width="21.5703125" customWidth="1" style="88" min="10243" max="10243"/>
    <col width="22.7109375" customWidth="1" style="88" min="10244" max="10244"/>
    <col width="0.28515625" customWidth="1" style="88" min="10245" max="10245"/>
    <col hidden="1" width="13" customWidth="1" style="88" min="10246" max="10246"/>
    <col width="9.140625" customWidth="1" style="88" min="10247" max="10249"/>
    <col width="14.140625" customWidth="1" style="88" min="10250" max="10250"/>
    <col width="9.140625" customWidth="1" style="88" min="10251" max="10494"/>
    <col width="2" customWidth="1" style="88" min="10495" max="10495"/>
    <col width="5.85546875" customWidth="1" style="88" min="10496" max="10496"/>
    <col width="38.5703125" customWidth="1" style="88" min="10497" max="10497"/>
    <col width="10" customWidth="1" style="88" min="10498" max="10498"/>
    <col width="21.5703125" customWidth="1" style="88" min="10499" max="10499"/>
    <col width="22.7109375" customWidth="1" style="88" min="10500" max="10500"/>
    <col width="0.28515625" customWidth="1" style="88" min="10501" max="10501"/>
    <col hidden="1" width="13" customWidth="1" style="88" min="10502" max="10502"/>
    <col width="9.140625" customWidth="1" style="88" min="10503" max="10505"/>
    <col width="14.140625" customWidth="1" style="88" min="10506" max="10506"/>
    <col width="9.140625" customWidth="1" style="88" min="10507" max="10750"/>
    <col width="2" customWidth="1" style="88" min="10751" max="10751"/>
    <col width="5.85546875" customWidth="1" style="88" min="10752" max="10752"/>
    <col width="38.5703125" customWidth="1" style="88" min="10753" max="10753"/>
    <col width="10" customWidth="1" style="88" min="10754" max="10754"/>
    <col width="21.5703125" customWidth="1" style="88" min="10755" max="10755"/>
    <col width="22.7109375" customWidth="1" style="88" min="10756" max="10756"/>
    <col width="0.28515625" customWidth="1" style="88" min="10757" max="10757"/>
    <col hidden="1" width="13" customWidth="1" style="88" min="10758" max="10758"/>
    <col width="9.140625" customWidth="1" style="88" min="10759" max="10761"/>
    <col width="14.140625" customWidth="1" style="88" min="10762" max="10762"/>
    <col width="9.140625" customWidth="1" style="88" min="10763" max="11006"/>
    <col width="2" customWidth="1" style="88" min="11007" max="11007"/>
    <col width="5.85546875" customWidth="1" style="88" min="11008" max="11008"/>
    <col width="38.5703125" customWidth="1" style="88" min="11009" max="11009"/>
    <col width="10" customWidth="1" style="88" min="11010" max="11010"/>
    <col width="21.5703125" customWidth="1" style="88" min="11011" max="11011"/>
    <col width="22.7109375" customWidth="1" style="88" min="11012" max="11012"/>
    <col width="0.28515625" customWidth="1" style="88" min="11013" max="11013"/>
    <col hidden="1" width="13" customWidth="1" style="88" min="11014" max="11014"/>
    <col width="9.140625" customWidth="1" style="88" min="11015" max="11017"/>
    <col width="14.140625" customWidth="1" style="88" min="11018" max="11018"/>
    <col width="9.140625" customWidth="1" style="88" min="11019" max="11262"/>
    <col width="2" customWidth="1" style="88" min="11263" max="11263"/>
    <col width="5.85546875" customWidth="1" style="88" min="11264" max="11264"/>
    <col width="38.5703125" customWidth="1" style="88" min="11265" max="11265"/>
    <col width="10" customWidth="1" style="88" min="11266" max="11266"/>
    <col width="21.5703125" customWidth="1" style="88" min="11267" max="11267"/>
    <col width="22.7109375" customWidth="1" style="88" min="11268" max="11268"/>
    <col width="0.28515625" customWidth="1" style="88" min="11269" max="11269"/>
    <col hidden="1" width="13" customWidth="1" style="88" min="11270" max="11270"/>
    <col width="9.140625" customWidth="1" style="88" min="11271" max="11273"/>
    <col width="14.140625" customWidth="1" style="88" min="11274" max="11274"/>
    <col width="9.140625" customWidth="1" style="88" min="11275" max="11518"/>
    <col width="2" customWidth="1" style="88" min="11519" max="11519"/>
    <col width="5.85546875" customWidth="1" style="88" min="11520" max="11520"/>
    <col width="38.5703125" customWidth="1" style="88" min="11521" max="11521"/>
    <col width="10" customWidth="1" style="88" min="11522" max="11522"/>
    <col width="21.5703125" customWidth="1" style="88" min="11523" max="11523"/>
    <col width="22.7109375" customWidth="1" style="88" min="11524" max="11524"/>
    <col width="0.28515625" customWidth="1" style="88" min="11525" max="11525"/>
    <col hidden="1" width="13" customWidth="1" style="88" min="11526" max="11526"/>
    <col width="9.140625" customWidth="1" style="88" min="11527" max="11529"/>
    <col width="14.140625" customWidth="1" style="88" min="11530" max="11530"/>
    <col width="9.140625" customWidth="1" style="88" min="11531" max="11774"/>
    <col width="2" customWidth="1" style="88" min="11775" max="11775"/>
    <col width="5.85546875" customWidth="1" style="88" min="11776" max="11776"/>
    <col width="38.5703125" customWidth="1" style="88" min="11777" max="11777"/>
    <col width="10" customWidth="1" style="88" min="11778" max="11778"/>
    <col width="21.5703125" customWidth="1" style="88" min="11779" max="11779"/>
    <col width="22.7109375" customWidth="1" style="88" min="11780" max="11780"/>
    <col width="0.28515625" customWidth="1" style="88" min="11781" max="11781"/>
    <col hidden="1" width="13" customWidth="1" style="88" min="11782" max="11782"/>
    <col width="9.140625" customWidth="1" style="88" min="11783" max="11785"/>
    <col width="14.140625" customWidth="1" style="88" min="11786" max="11786"/>
    <col width="9.140625" customWidth="1" style="88" min="11787" max="12030"/>
    <col width="2" customWidth="1" style="88" min="12031" max="12031"/>
    <col width="5.85546875" customWidth="1" style="88" min="12032" max="12032"/>
    <col width="38.5703125" customWidth="1" style="88" min="12033" max="12033"/>
    <col width="10" customWidth="1" style="88" min="12034" max="12034"/>
    <col width="21.5703125" customWidth="1" style="88" min="12035" max="12035"/>
    <col width="22.7109375" customWidth="1" style="88" min="12036" max="12036"/>
    <col width="0.28515625" customWidth="1" style="88" min="12037" max="12037"/>
    <col hidden="1" width="13" customWidth="1" style="88" min="12038" max="12038"/>
    <col width="9.140625" customWidth="1" style="88" min="12039" max="12041"/>
    <col width="14.140625" customWidth="1" style="88" min="12042" max="12042"/>
    <col width="9.140625" customWidth="1" style="88" min="12043" max="12286"/>
    <col width="2" customWidth="1" style="88" min="12287" max="12287"/>
    <col width="5.85546875" customWidth="1" style="88" min="12288" max="12288"/>
    <col width="38.5703125" customWidth="1" style="88" min="12289" max="12289"/>
    <col width="10" customWidth="1" style="88" min="12290" max="12290"/>
    <col width="21.5703125" customWidth="1" style="88" min="12291" max="12291"/>
    <col width="22.7109375" customWidth="1" style="88" min="12292" max="12292"/>
    <col width="0.28515625" customWidth="1" style="88" min="12293" max="12293"/>
    <col hidden="1" width="13" customWidth="1" style="88" min="12294" max="12294"/>
    <col width="9.140625" customWidth="1" style="88" min="12295" max="12297"/>
    <col width="14.140625" customWidth="1" style="88" min="12298" max="12298"/>
    <col width="9.140625" customWidth="1" style="88" min="12299" max="12542"/>
    <col width="2" customWidth="1" style="88" min="12543" max="12543"/>
    <col width="5.85546875" customWidth="1" style="88" min="12544" max="12544"/>
    <col width="38.5703125" customWidth="1" style="88" min="12545" max="12545"/>
    <col width="10" customWidth="1" style="88" min="12546" max="12546"/>
    <col width="21.5703125" customWidth="1" style="88" min="12547" max="12547"/>
    <col width="22.7109375" customWidth="1" style="88" min="12548" max="12548"/>
    <col width="0.28515625" customWidth="1" style="88" min="12549" max="12549"/>
    <col hidden="1" width="13" customWidth="1" style="88" min="12550" max="12550"/>
    <col width="9.140625" customWidth="1" style="88" min="12551" max="12553"/>
    <col width="14.140625" customWidth="1" style="88" min="12554" max="12554"/>
    <col width="9.140625" customWidth="1" style="88" min="12555" max="12798"/>
    <col width="2" customWidth="1" style="88" min="12799" max="12799"/>
    <col width="5.85546875" customWidth="1" style="88" min="12800" max="12800"/>
    <col width="38.5703125" customWidth="1" style="88" min="12801" max="12801"/>
    <col width="10" customWidth="1" style="88" min="12802" max="12802"/>
    <col width="21.5703125" customWidth="1" style="88" min="12803" max="12803"/>
    <col width="22.7109375" customWidth="1" style="88" min="12804" max="12804"/>
    <col width="0.28515625" customWidth="1" style="88" min="12805" max="12805"/>
    <col hidden="1" width="13" customWidth="1" style="88" min="12806" max="12806"/>
    <col width="9.140625" customWidth="1" style="88" min="12807" max="12809"/>
    <col width="14.140625" customWidth="1" style="88" min="12810" max="12810"/>
    <col width="9.140625" customWidth="1" style="88" min="12811" max="13054"/>
    <col width="2" customWidth="1" style="88" min="13055" max="13055"/>
    <col width="5.85546875" customWidth="1" style="88" min="13056" max="13056"/>
    <col width="38.5703125" customWidth="1" style="88" min="13057" max="13057"/>
    <col width="10" customWidth="1" style="88" min="13058" max="13058"/>
    <col width="21.5703125" customWidth="1" style="88" min="13059" max="13059"/>
    <col width="22.7109375" customWidth="1" style="88" min="13060" max="13060"/>
    <col width="0.28515625" customWidth="1" style="88" min="13061" max="13061"/>
    <col hidden="1" width="13" customWidth="1" style="88" min="13062" max="13062"/>
    <col width="9.140625" customWidth="1" style="88" min="13063" max="13065"/>
    <col width="14.140625" customWidth="1" style="88" min="13066" max="13066"/>
    <col width="9.140625" customWidth="1" style="88" min="13067" max="13310"/>
    <col width="2" customWidth="1" style="88" min="13311" max="13311"/>
    <col width="5.85546875" customWidth="1" style="88" min="13312" max="13312"/>
    <col width="38.5703125" customWidth="1" style="88" min="13313" max="13313"/>
    <col width="10" customWidth="1" style="88" min="13314" max="13314"/>
    <col width="21.5703125" customWidth="1" style="88" min="13315" max="13315"/>
    <col width="22.7109375" customWidth="1" style="88" min="13316" max="13316"/>
    <col width="0.28515625" customWidth="1" style="88" min="13317" max="13317"/>
    <col hidden="1" width="13" customWidth="1" style="88" min="13318" max="13318"/>
    <col width="9.140625" customWidth="1" style="88" min="13319" max="13321"/>
    <col width="14.140625" customWidth="1" style="88" min="13322" max="13322"/>
    <col width="9.140625" customWidth="1" style="88" min="13323" max="13566"/>
    <col width="2" customWidth="1" style="88" min="13567" max="13567"/>
    <col width="5.85546875" customWidth="1" style="88" min="13568" max="13568"/>
    <col width="38.5703125" customWidth="1" style="88" min="13569" max="13569"/>
    <col width="10" customWidth="1" style="88" min="13570" max="13570"/>
    <col width="21.5703125" customWidth="1" style="88" min="13571" max="13571"/>
    <col width="22.7109375" customWidth="1" style="88" min="13572" max="13572"/>
    <col width="0.28515625" customWidth="1" style="88" min="13573" max="13573"/>
    <col hidden="1" width="13" customWidth="1" style="88" min="13574" max="13574"/>
    <col width="9.140625" customWidth="1" style="88" min="13575" max="13577"/>
    <col width="14.140625" customWidth="1" style="88" min="13578" max="13578"/>
    <col width="9.140625" customWidth="1" style="88" min="13579" max="13822"/>
    <col width="2" customWidth="1" style="88" min="13823" max="13823"/>
    <col width="5.85546875" customWidth="1" style="88" min="13824" max="13824"/>
    <col width="38.5703125" customWidth="1" style="88" min="13825" max="13825"/>
    <col width="10" customWidth="1" style="88" min="13826" max="13826"/>
    <col width="21.5703125" customWidth="1" style="88" min="13827" max="13827"/>
    <col width="22.7109375" customWidth="1" style="88" min="13828" max="13828"/>
    <col width="0.28515625" customWidth="1" style="88" min="13829" max="13829"/>
    <col hidden="1" width="13" customWidth="1" style="88" min="13830" max="13830"/>
    <col width="9.140625" customWidth="1" style="88" min="13831" max="13833"/>
    <col width="14.140625" customWidth="1" style="88" min="13834" max="13834"/>
    <col width="9.140625" customWidth="1" style="88" min="13835" max="14078"/>
    <col width="2" customWidth="1" style="88" min="14079" max="14079"/>
    <col width="5.85546875" customWidth="1" style="88" min="14080" max="14080"/>
    <col width="38.5703125" customWidth="1" style="88" min="14081" max="14081"/>
    <col width="10" customWidth="1" style="88" min="14082" max="14082"/>
    <col width="21.5703125" customWidth="1" style="88" min="14083" max="14083"/>
    <col width="22.7109375" customWidth="1" style="88" min="14084" max="14084"/>
    <col width="0.28515625" customWidth="1" style="88" min="14085" max="14085"/>
    <col hidden="1" width="13" customWidth="1" style="88" min="14086" max="14086"/>
    <col width="9.140625" customWidth="1" style="88" min="14087" max="14089"/>
    <col width="14.140625" customWidth="1" style="88" min="14090" max="14090"/>
    <col width="9.140625" customWidth="1" style="88" min="14091" max="14334"/>
    <col width="2" customWidth="1" style="88" min="14335" max="14335"/>
    <col width="5.85546875" customWidth="1" style="88" min="14336" max="14336"/>
    <col width="38.5703125" customWidth="1" style="88" min="14337" max="14337"/>
    <col width="10" customWidth="1" style="88" min="14338" max="14338"/>
    <col width="21.5703125" customWidth="1" style="88" min="14339" max="14339"/>
    <col width="22.7109375" customWidth="1" style="88" min="14340" max="14340"/>
    <col width="0.28515625" customWidth="1" style="88" min="14341" max="14341"/>
    <col hidden="1" width="13" customWidth="1" style="88" min="14342" max="14342"/>
    <col width="9.140625" customWidth="1" style="88" min="14343" max="14345"/>
    <col width="14.140625" customWidth="1" style="88" min="14346" max="14346"/>
    <col width="9.140625" customWidth="1" style="88" min="14347" max="14590"/>
    <col width="2" customWidth="1" style="88" min="14591" max="14591"/>
    <col width="5.85546875" customWidth="1" style="88" min="14592" max="14592"/>
    <col width="38.5703125" customWidth="1" style="88" min="14593" max="14593"/>
    <col width="10" customWidth="1" style="88" min="14594" max="14594"/>
    <col width="21.5703125" customWidth="1" style="88" min="14595" max="14595"/>
    <col width="22.7109375" customWidth="1" style="88" min="14596" max="14596"/>
    <col width="0.28515625" customWidth="1" style="88" min="14597" max="14597"/>
    <col hidden="1" width="13" customWidth="1" style="88" min="14598" max="14598"/>
    <col width="9.140625" customWidth="1" style="88" min="14599" max="14601"/>
    <col width="14.140625" customWidth="1" style="88" min="14602" max="14602"/>
    <col width="9.140625" customWidth="1" style="88" min="14603" max="14846"/>
    <col width="2" customWidth="1" style="88" min="14847" max="14847"/>
    <col width="5.85546875" customWidth="1" style="88" min="14848" max="14848"/>
    <col width="38.5703125" customWidth="1" style="88" min="14849" max="14849"/>
    <col width="10" customWidth="1" style="88" min="14850" max="14850"/>
    <col width="21.5703125" customWidth="1" style="88" min="14851" max="14851"/>
    <col width="22.7109375" customWidth="1" style="88" min="14852" max="14852"/>
    <col width="0.28515625" customWidth="1" style="88" min="14853" max="14853"/>
    <col hidden="1" width="13" customWidth="1" style="88" min="14854" max="14854"/>
    <col width="9.140625" customWidth="1" style="88" min="14855" max="14857"/>
    <col width="14.140625" customWidth="1" style="88" min="14858" max="14858"/>
    <col width="9.140625" customWidth="1" style="88" min="14859" max="15102"/>
    <col width="2" customWidth="1" style="88" min="15103" max="15103"/>
    <col width="5.85546875" customWidth="1" style="88" min="15104" max="15104"/>
    <col width="38.5703125" customWidth="1" style="88" min="15105" max="15105"/>
    <col width="10" customWidth="1" style="88" min="15106" max="15106"/>
    <col width="21.5703125" customWidth="1" style="88" min="15107" max="15107"/>
    <col width="22.7109375" customWidth="1" style="88" min="15108" max="15108"/>
    <col width="0.28515625" customWidth="1" style="88" min="15109" max="15109"/>
    <col hidden="1" width="13" customWidth="1" style="88" min="15110" max="15110"/>
    <col width="9.140625" customWidth="1" style="88" min="15111" max="15113"/>
    <col width="14.140625" customWidth="1" style="88" min="15114" max="15114"/>
    <col width="9.140625" customWidth="1" style="88" min="15115" max="15358"/>
    <col width="2" customWidth="1" style="88" min="15359" max="15359"/>
    <col width="5.85546875" customWidth="1" style="88" min="15360" max="15360"/>
    <col width="38.5703125" customWidth="1" style="88" min="15361" max="15361"/>
    <col width="10" customWidth="1" style="88" min="15362" max="15362"/>
    <col width="21.5703125" customWidth="1" style="88" min="15363" max="15363"/>
    <col width="22.7109375" customWidth="1" style="88" min="15364" max="15364"/>
    <col width="0.28515625" customWidth="1" style="88" min="15365" max="15365"/>
    <col hidden="1" width="13" customWidth="1" style="88" min="15366" max="15366"/>
    <col width="9.140625" customWidth="1" style="88" min="15367" max="15369"/>
    <col width="14.140625" customWidth="1" style="88" min="15370" max="15370"/>
    <col width="9.140625" customWidth="1" style="88" min="15371" max="15614"/>
    <col width="2" customWidth="1" style="88" min="15615" max="15615"/>
    <col width="5.85546875" customWidth="1" style="88" min="15616" max="15616"/>
    <col width="38.5703125" customWidth="1" style="88" min="15617" max="15617"/>
    <col width="10" customWidth="1" style="88" min="15618" max="15618"/>
    <col width="21.5703125" customWidth="1" style="88" min="15619" max="15619"/>
    <col width="22.7109375" customWidth="1" style="88" min="15620" max="15620"/>
    <col width="0.28515625" customWidth="1" style="88" min="15621" max="15621"/>
    <col hidden="1" width="13" customWidth="1" style="88" min="15622" max="15622"/>
    <col width="9.140625" customWidth="1" style="88" min="15623" max="15625"/>
    <col width="14.140625" customWidth="1" style="88" min="15626" max="15626"/>
    <col width="9.140625" customWidth="1" style="88" min="15627" max="15870"/>
    <col width="2" customWidth="1" style="88" min="15871" max="15871"/>
    <col width="5.85546875" customWidth="1" style="88" min="15872" max="15872"/>
    <col width="38.5703125" customWidth="1" style="88" min="15873" max="15873"/>
    <col width="10" customWidth="1" style="88" min="15874" max="15874"/>
    <col width="21.5703125" customWidth="1" style="88" min="15875" max="15875"/>
    <col width="22.7109375" customWidth="1" style="88" min="15876" max="15876"/>
    <col width="0.28515625" customWidth="1" style="88" min="15877" max="15877"/>
    <col hidden="1" width="13" customWidth="1" style="88" min="15878" max="15878"/>
    <col width="9.140625" customWidth="1" style="88" min="15879" max="15881"/>
    <col width="14.140625" customWidth="1" style="88" min="15882" max="15882"/>
    <col width="9.140625" customWidth="1" style="88" min="15883" max="16126"/>
    <col width="2" customWidth="1" style="88" min="16127" max="16127"/>
    <col width="5.85546875" customWidth="1" style="88" min="16128" max="16128"/>
    <col width="38.5703125" customWidth="1" style="88" min="16129" max="16129"/>
    <col width="10" customWidth="1" style="88" min="16130" max="16130"/>
    <col width="21.5703125" customWidth="1" style="88" min="16131" max="16131"/>
    <col width="22.7109375" customWidth="1" style="88" min="16132" max="16132"/>
    <col width="0.28515625" customWidth="1" style="88" min="16133" max="16133"/>
    <col hidden="1" width="13" customWidth="1" style="88" min="16134" max="16134"/>
    <col width="9.140625" customWidth="1" style="88" min="16135" max="16137"/>
    <col width="14.140625" customWidth="1" style="88" min="16138" max="16138"/>
    <col width="9.140625" customWidth="1" style="88" min="16139" max="16384"/>
  </cols>
  <sheetData>
    <row r="1" ht="13.5" customHeight="1">
      <c r="A1" s="11" t="n"/>
      <c r="B1" s="98" t="inlineStr">
        <is>
          <t>Исполнитель: ООО "ЯмалСпецЦентр"</t>
        </is>
      </c>
      <c r="C1" s="32" t="n"/>
      <c r="D1" s="49" t="n"/>
      <c r="E1" s="98" t="inlineStr">
        <is>
          <t>Заказчик: АО "Газпромнефть-ННГ"</t>
        </is>
      </c>
      <c r="F1" s="56" t="n"/>
      <c r="G1" s="11" t="n"/>
      <c r="H1" s="11" t="n"/>
    </row>
    <row r="2" ht="39.75" customFormat="1" customHeight="1" s="83">
      <c r="A2" s="11" t="n"/>
      <c r="B2" s="85" t="inlineStr">
        <is>
          <t>Адрес: 629800,  Ямало-Ненецкий автономный округ г.о.  город Ноябрьск, г. Ноябрьск тер. Промузел Пелей, панель VI д. 6</t>
        </is>
      </c>
      <c r="D2" s="11" t="n"/>
      <c r="E2" s="85" t="inlineStr">
        <is>
          <t>Адрес: 629807, Ямало-Ненецкий автономный округ , 
 г. Ноябрьск, ул. Ленина, д. 59/87</t>
        </is>
      </c>
    </row>
    <row r="3" ht="15.75" customFormat="1" customHeight="1" s="83">
      <c r="A3" s="11" t="n"/>
      <c r="B3" s="98" t="inlineStr">
        <is>
          <t>ИНН: 8905050637</t>
        </is>
      </c>
      <c r="C3" s="31" t="n"/>
      <c r="D3" s="11" t="n"/>
      <c r="E3" s="98" t="inlineStr">
        <is>
          <t>ИНН: 8905000428</t>
        </is>
      </c>
      <c r="F3" s="103" t="n"/>
      <c r="G3" s="103" t="n"/>
      <c r="H3" s="103" t="n"/>
    </row>
    <row r="4" ht="15.75" customFormat="1" customHeight="1" s="83">
      <c r="A4" s="11" t="n"/>
      <c r="B4" s="98" t="inlineStr">
        <is>
          <t>КПП: 890501001</t>
        </is>
      </c>
      <c r="C4" s="31" t="n"/>
      <c r="D4" s="49" t="n"/>
      <c r="E4" s="98" t="inlineStr">
        <is>
          <t>КПП: 997250001</t>
        </is>
      </c>
      <c r="F4" s="58" t="n"/>
      <c r="G4" s="58" t="n"/>
      <c r="H4" s="58" t="n"/>
    </row>
    <row r="5" ht="13.5" customFormat="1" customHeight="1" s="83">
      <c r="A5" s="11" t="n"/>
      <c r="B5" s="91" t="inlineStr">
        <is>
          <t>Банковские реквизиты: р/с 40702810700020010172
Филиал "Центральный" Банка ВТБ (ПАО) в г. Москве к/с 30101810145250000411, БИК 044525411</t>
        </is>
      </c>
      <c r="D5" s="85" t="n"/>
      <c r="E5" s="85" t="inlineStr">
        <is>
          <t>Банковские реквизиты: р/с 40702810000000072482
Банк"ГПБ" (АО)г.Москва,  
к/с 30101810200000000823 в ГУ Банка России по ЦФО, 
БИК 044525823</t>
        </is>
      </c>
    </row>
    <row r="6" ht="44.25" customFormat="1" customHeight="1" s="83">
      <c r="A6" s="11" t="n"/>
      <c r="D6" s="85" t="n"/>
    </row>
    <row r="7" ht="15.75" customFormat="1" customHeight="1" s="83">
      <c r="A7" s="11" t="n"/>
      <c r="B7" s="90" t="n"/>
      <c r="C7" s="11" t="n"/>
      <c r="D7" s="76" t="inlineStr">
        <is>
          <t>АКТ № 2</t>
        </is>
      </c>
      <c r="E7" s="85" t="n"/>
      <c r="F7" s="26" t="n"/>
      <c r="G7" s="59" t="n"/>
      <c r="H7" s="59" t="n"/>
      <c r="I7" s="23" t="n"/>
    </row>
    <row r="8" ht="16.5" customFormat="1" customHeight="1" s="83">
      <c r="A8" s="11" t="n"/>
      <c r="B8" s="90" t="n"/>
      <c r="C8" s="60" t="n"/>
      <c r="D8" s="61" t="inlineStr">
        <is>
          <t>от "" мая 2026 г.</t>
        </is>
      </c>
      <c r="E8" s="62" t="n"/>
      <c r="F8" s="26" t="n"/>
      <c r="G8" s="59" t="n"/>
      <c r="H8" s="59" t="n"/>
      <c r="I8" s="23" t="n"/>
    </row>
    <row r="9" ht="12.75" customFormat="1" customHeight="1" s="83">
      <c r="A9" s="11" t="n"/>
      <c r="B9" s="90" t="n"/>
      <c r="C9" s="62" t="n"/>
      <c r="D9" s="62" t="inlineStr">
        <is>
          <t>сдачи-приемки оказанных услуг за май 2026 г.</t>
        </is>
      </c>
      <c r="E9" s="62" t="n"/>
      <c r="F9" s="26" t="n"/>
      <c r="G9" s="59" t="n"/>
      <c r="H9" s="59" t="n"/>
      <c r="I9" s="23" t="n"/>
    </row>
    <row r="10" ht="4.5" customFormat="1" customHeight="1" s="83">
      <c r="A10" s="11" t="n"/>
      <c r="B10" s="90" t="n"/>
      <c r="C10" s="62" t="n"/>
      <c r="D10" s="62" t="n"/>
      <c r="E10" s="62" t="n"/>
      <c r="F10" s="26" t="n"/>
      <c r="G10" s="59" t="n"/>
      <c r="H10" s="59" t="n"/>
      <c r="I10" s="23" t="n"/>
    </row>
    <row r="11" ht="14.25" customFormat="1" customHeight="1" s="83">
      <c r="A11" s="11" t="n"/>
      <c r="B11" s="31" t="inlineStr">
        <is>
          <t>составлен в том, что "Исполнитель" согласно договору №  ННГ-22/10000/02048/Р от 20.12.2022 г.</t>
        </is>
      </c>
      <c r="C11" s="31" t="n"/>
      <c r="D11" s="31" t="n"/>
      <c r="E11" s="31" t="n"/>
      <c r="F11" s="31" t="n"/>
      <c r="G11" s="32" t="n"/>
      <c r="H11" s="32" t="n"/>
      <c r="I11" s="23" t="n"/>
    </row>
    <row r="12" ht="15.75" customFormat="1" customHeight="1" s="83">
      <c r="A12" s="11" t="n"/>
      <c r="B12" s="31" t="inlineStr">
        <is>
          <t>оказал услуги для АО "Газпромнефть-ННГ"</t>
        </is>
      </c>
      <c r="C12" s="31" t="n"/>
      <c r="D12" s="31" t="n"/>
      <c r="E12" s="31" t="n"/>
      <c r="F12" s="31" t="n"/>
      <c r="G12" s="11" t="n"/>
      <c r="H12" s="11" t="n"/>
    </row>
    <row r="13" ht="12.75" customHeight="1">
      <c r="A13" s="11" t="n"/>
      <c r="B13" s="87" t="inlineStr">
        <is>
          <t>№ п\п</t>
        </is>
      </c>
      <c r="C13" s="87" t="inlineStr">
        <is>
          <t>Наименование работ</t>
        </is>
      </c>
      <c r="D13" s="87" t="inlineStr">
        <is>
          <t xml:space="preserve">Кол-во </t>
        </is>
      </c>
      <c r="E13" s="87" t="inlineStr">
        <is>
          <t>Цена (руб.)</t>
        </is>
      </c>
      <c r="F13" s="87" t="inlineStr">
        <is>
          <t>Сумма без НДС (руб.)</t>
        </is>
      </c>
      <c r="G13" s="63" t="n"/>
      <c r="H13" s="11" t="n"/>
    </row>
    <row r="14" ht="12.75" customHeight="1">
      <c r="A14" s="11" t="n"/>
      <c r="G14" s="63" t="n"/>
      <c r="H14" s="11" t="n"/>
    </row>
    <row r="15" ht="3" customHeight="1">
      <c r="A15" s="11" t="n"/>
      <c r="G15" s="63" t="n"/>
      <c r="H15" s="11" t="n"/>
    </row>
    <row r="16" ht="14.25" customHeight="1">
      <c r="A16" s="11" t="n"/>
      <c r="B16" s="63" t="n">
        <v>1</v>
      </c>
      <c r="C16" s="63" t="n">
        <v>2</v>
      </c>
      <c r="D16" s="63" t="n">
        <v>3</v>
      </c>
      <c r="E16" s="63" t="n">
        <v>4</v>
      </c>
      <c r="F16" s="63" t="n">
        <v>5</v>
      </c>
      <c r="G16" s="63" t="n"/>
      <c r="H16" s="11" t="n"/>
    </row>
    <row r="17" ht="15.75" customHeight="1">
      <c r="A17" s="11" t="n"/>
      <c r="B17" s="11" t="inlineStr">
        <is>
          <t>СЕРВИСНОЕ ОБСЛУЖИВАНИЕ ОБОРУДОВАНИЯ</t>
        </is>
      </c>
      <c r="C17" s="63" t="n"/>
      <c r="D17" s="63" t="n"/>
      <c r="E17" s="49" t="n"/>
      <c r="F17" s="63" t="n"/>
      <c r="G17" s="11" t="n"/>
      <c r="H17" s="11" t="n"/>
    </row>
    <row r="18" hidden="1" ht="25.5" customHeight="1">
      <c r="A18" s="11" t="n"/>
      <c r="B18" s="63" t="n">
        <v>1</v>
      </c>
      <c r="C18" s="85" t="inlineStr">
        <is>
          <t>Агрегат турбокомпрессорный ТКА-Ц-12/0,4-6,1М1 без двигателя</t>
        </is>
      </c>
      <c r="D18" s="64" t="n"/>
      <c r="E18" s="64" t="n">
        <v>1607802</v>
      </c>
      <c r="F18" s="63">
        <f>E18*D18</f>
        <v/>
      </c>
      <c r="G18" s="11" t="n"/>
      <c r="H18" s="11" t="n"/>
    </row>
    <row r="19" hidden="1" ht="15.75" customHeight="1">
      <c r="A19" s="11" t="n"/>
      <c r="B19" s="63" t="n">
        <v>2</v>
      </c>
      <c r="C19" s="85" t="inlineStr">
        <is>
          <t>БНСП 1400-900</t>
        </is>
      </c>
      <c r="D19" s="63" t="n"/>
      <c r="E19" s="63" t="n">
        <v>194211</v>
      </c>
      <c r="F19" s="63">
        <f>E19*D19</f>
        <v/>
      </c>
      <c r="G19" s="11" t="n"/>
      <c r="H19" s="11" t="n"/>
    </row>
    <row r="20" hidden="1" ht="15.75" customHeight="1">
      <c r="A20" s="11" t="n"/>
      <c r="B20" s="63" t="n">
        <v>3</v>
      </c>
      <c r="C20" s="85" t="inlineStr">
        <is>
          <t>ГНС 700</t>
        </is>
      </c>
      <c r="D20" s="63" t="n"/>
      <c r="E20" s="87" t="n">
        <v>194211</v>
      </c>
      <c r="F20" s="63">
        <f>E20*D20</f>
        <v/>
      </c>
      <c r="G20" s="11" t="n"/>
      <c r="H20" s="11" t="n"/>
    </row>
    <row r="21" hidden="1" ht="15.75" customHeight="1">
      <c r="A21" s="11" t="n"/>
      <c r="B21" s="63" t="n">
        <v>4</v>
      </c>
      <c r="C21" s="85" t="inlineStr">
        <is>
          <t>ГНС S 100 N</t>
        </is>
      </c>
      <c r="D21" s="63" t="n"/>
      <c r="E21" s="63" t="n">
        <v>194211</v>
      </c>
      <c r="F21" s="63">
        <f>E21*D21</f>
        <v/>
      </c>
      <c r="G21" s="11" t="n"/>
      <c r="H21" s="11" t="n"/>
    </row>
    <row r="22" hidden="1" ht="15.75" customHeight="1">
      <c r="A22" s="11" t="n"/>
      <c r="B22" s="63" t="n">
        <v>5</v>
      </c>
      <c r="C22" s="85" t="inlineStr">
        <is>
          <t>ГНС S 175 N</t>
        </is>
      </c>
      <c r="D22" s="63" t="n"/>
      <c r="E22" s="63" t="n">
        <v>194211</v>
      </c>
      <c r="F22" s="63">
        <f>E22*D22</f>
        <v/>
      </c>
      <c r="G22" s="11" t="n"/>
      <c r="H22" s="11" t="n"/>
    </row>
    <row r="23" hidden="1" ht="15.75" customHeight="1">
      <c r="A23" s="11" t="n"/>
      <c r="B23" s="63" t="n">
        <v>6</v>
      </c>
      <c r="C23" s="85" t="inlineStr">
        <is>
          <t>ГНУ 3000/1900</t>
        </is>
      </c>
      <c r="D23" s="63" t="n"/>
      <c r="E23" s="63" t="n">
        <v>194211</v>
      </c>
      <c r="F23" s="63">
        <f>E23*D23</f>
        <v/>
      </c>
      <c r="G23" s="11" t="n"/>
      <c r="H23" s="11" t="n"/>
    </row>
    <row r="24" hidden="1" ht="15.75" customHeight="1">
      <c r="A24" s="11" t="n"/>
      <c r="B24" s="63" t="n">
        <v>7</v>
      </c>
      <c r="C24" s="85" t="inlineStr">
        <is>
          <t>Насос плунжерный КАМАТ тип К</t>
        </is>
      </c>
      <c r="D24" s="45" t="n"/>
      <c r="E24" s="45" t="n">
        <v>75410</v>
      </c>
      <c r="F24" s="87">
        <f>E24*D24</f>
        <v/>
      </c>
      <c r="G24" s="11" t="n"/>
      <c r="H24" s="11" t="n"/>
    </row>
    <row r="25" hidden="1" ht="15.75" customHeight="1">
      <c r="A25" s="11" t="n"/>
      <c r="B25" s="63" t="n">
        <v>8</v>
      </c>
      <c r="C25" s="85" t="inlineStr">
        <is>
          <t>Компрессор 2НВ2КТ/126/330</t>
        </is>
      </c>
      <c r="D25" s="64" t="n"/>
      <c r="E25" s="64" t="n">
        <v>65306</v>
      </c>
      <c r="F25" s="63">
        <f>E25*D25</f>
        <v/>
      </c>
      <c r="G25" s="11" t="n"/>
      <c r="H25" s="11" t="n"/>
    </row>
    <row r="26" hidden="1" ht="15.75" customHeight="1">
      <c r="A26" s="11" t="n"/>
      <c r="B26" s="63" t="n">
        <v>9</v>
      </c>
      <c r="C26" s="85" t="inlineStr">
        <is>
          <t>Компрессор 4ВУ1-5/9</t>
        </is>
      </c>
      <c r="D26" s="63" t="n"/>
      <c r="E26" s="63" t="n">
        <v>19917</v>
      </c>
      <c r="F26" s="63">
        <f>E26*D26</f>
        <v/>
      </c>
      <c r="G26" s="11" t="n"/>
      <c r="H26" s="11" t="n"/>
    </row>
    <row r="27" hidden="1" ht="15.75" customHeight="1">
      <c r="A27" s="11" t="n"/>
      <c r="B27" s="63" t="n">
        <v>10</v>
      </c>
      <c r="C27" s="85" t="inlineStr">
        <is>
          <t>Компрессор A2YI-52-16-8, К-10А2У1-52-16</t>
        </is>
      </c>
      <c r="D27" s="64" t="n"/>
      <c r="E27" s="64" t="n">
        <v>29176</v>
      </c>
      <c r="F27" s="63">
        <f>E27*D27</f>
        <v/>
      </c>
      <c r="G27" s="11" t="n"/>
      <c r="H27" s="11" t="n"/>
    </row>
    <row r="28" hidden="1" ht="15.75" customHeight="1">
      <c r="A28" s="11" t="n"/>
      <c r="B28" s="63" t="n">
        <v>11</v>
      </c>
      <c r="C28" s="85" t="inlineStr">
        <is>
          <t>Компрессор воздушный Atlas Copco ZT90VSD</t>
        </is>
      </c>
      <c r="D28" s="64" t="n"/>
      <c r="E28" s="64" t="n">
        <v>63485</v>
      </c>
      <c r="F28" s="63">
        <f>E28*D28</f>
        <v/>
      </c>
      <c r="G28" s="11" t="n"/>
      <c r="H28" s="11" t="n"/>
    </row>
    <row r="29" hidden="1" ht="15.75" customHeight="1">
      <c r="A29" s="11" t="n"/>
      <c r="B29" s="63" t="n">
        <v>12</v>
      </c>
      <c r="C29" s="85" t="inlineStr">
        <is>
          <t>Компрессор ТАКАТ 11.05;  Борец 1С2ГП;  EGSI-S-150/200 WA</t>
        </is>
      </c>
      <c r="D29" s="64" t="n"/>
      <c r="E29" s="64" t="n">
        <v>23632</v>
      </c>
      <c r="F29" s="63">
        <f>E29*D29</f>
        <v/>
      </c>
      <c r="G29" s="11" t="n"/>
      <c r="H29" s="11" t="n"/>
    </row>
    <row r="30" ht="15.75" customHeight="1">
      <c r="A30" s="11" t="n"/>
      <c r="B30" s="63" t="n">
        <v>13</v>
      </c>
      <c r="C30" s="85" t="inlineStr">
        <is>
          <t>Насос Д160-112Б</t>
        </is>
      </c>
      <c r="D30" s="64" t="n"/>
      <c r="E30" s="64" t="n">
        <v>19803</v>
      </c>
      <c r="F30" s="63">
        <f>E30*D30</f>
        <v/>
      </c>
      <c r="G30" s="11" t="n"/>
      <c r="H30" s="11" t="n"/>
    </row>
    <row r="31" ht="15.75" customHeight="1">
      <c r="A31" s="11" t="n"/>
      <c r="B31" s="63" t="n">
        <v>14</v>
      </c>
      <c r="C31" s="85" t="inlineStr">
        <is>
          <t>Насос 1 Д200-90</t>
        </is>
      </c>
      <c r="D31" s="64" t="n"/>
      <c r="E31" s="64" t="n">
        <v>19803</v>
      </c>
      <c r="F31" s="63">
        <f>E31*D31</f>
        <v/>
      </c>
      <c r="G31" s="11" t="n"/>
      <c r="H31" s="11" t="n"/>
    </row>
    <row r="32" ht="15.75" customHeight="1">
      <c r="A32" s="11" t="n"/>
      <c r="B32" s="63" t="n">
        <v>15</v>
      </c>
      <c r="C32" s="85" t="inlineStr">
        <is>
          <t>Насос 1 Д250-125</t>
        </is>
      </c>
      <c r="D32" s="45" t="n"/>
      <c r="E32" s="45" t="n">
        <v>19803</v>
      </c>
      <c r="F32" s="87">
        <f>E32*D32</f>
        <v/>
      </c>
      <c r="G32" s="11" t="n"/>
      <c r="H32" s="11" t="n"/>
    </row>
    <row r="33" ht="15.75" customHeight="1">
      <c r="A33" s="11" t="n"/>
      <c r="B33" s="63" t="n">
        <v>16</v>
      </c>
      <c r="C33" s="85" t="inlineStr">
        <is>
          <t>Насос 1 Д315-50...71</t>
        </is>
      </c>
      <c r="D33" s="64" t="n"/>
      <c r="E33" s="45" t="n">
        <v>19803</v>
      </c>
      <c r="F33" s="63">
        <f>E33*D33</f>
        <v/>
      </c>
      <c r="G33" s="11" t="n"/>
      <c r="H33" s="11" t="n"/>
    </row>
    <row r="34" ht="15.75" customHeight="1">
      <c r="A34" s="11" t="n"/>
      <c r="B34" s="63" t="n">
        <v>17</v>
      </c>
      <c r="C34" s="85" t="inlineStr">
        <is>
          <t>Насос 1 Д500-63</t>
        </is>
      </c>
      <c r="D34" s="64" t="n"/>
      <c r="E34" s="45" t="n">
        <v>19803</v>
      </c>
      <c r="F34" s="63">
        <f>E34*D34</f>
        <v/>
      </c>
      <c r="G34" s="11" t="n"/>
      <c r="H34" s="11" t="n"/>
    </row>
    <row r="35" ht="15" customHeight="1">
      <c r="A35" s="11" t="n"/>
      <c r="B35" s="63" t="n">
        <v>18</v>
      </c>
      <c r="C35" s="85" t="inlineStr">
        <is>
          <t>Насос 1 Д630-90...125</t>
        </is>
      </c>
      <c r="D35" s="64" t="n">
        <v>11</v>
      </c>
      <c r="E35" s="64" t="n">
        <v>19803</v>
      </c>
      <c r="F35" s="63">
        <f>E35*D35</f>
        <v/>
      </c>
      <c r="G35" s="11" t="n"/>
      <c r="H35" s="11" t="n"/>
    </row>
    <row r="36" ht="15" customHeight="1">
      <c r="A36" s="11" t="n"/>
      <c r="B36" s="63" t="n">
        <v>19</v>
      </c>
      <c r="C36" s="85" t="inlineStr">
        <is>
          <t>Насос 1 Д1250-63…125</t>
        </is>
      </c>
      <c r="D36" s="64" t="n">
        <v>4</v>
      </c>
      <c r="E36" s="64" t="n">
        <v>21955</v>
      </c>
      <c r="F36" s="63">
        <f>E36*D36</f>
        <v/>
      </c>
      <c r="G36" s="11" t="n"/>
      <c r="H36" s="11" t="n"/>
    </row>
    <row r="37" ht="15.75" customHeight="1">
      <c r="A37" s="11" t="n"/>
      <c r="B37" s="63" t="n">
        <v>20</v>
      </c>
      <c r="C37" s="85" t="inlineStr">
        <is>
          <t>Насос 12НА-9х4</t>
        </is>
      </c>
      <c r="D37" s="64" t="n"/>
      <c r="E37" s="64" t="n">
        <v>5393</v>
      </c>
      <c r="F37" s="63">
        <f>E37*D37</f>
        <v/>
      </c>
      <c r="G37" s="11" t="n"/>
      <c r="H37" s="11" t="n"/>
    </row>
    <row r="38" hidden="1" ht="15.75" customHeight="1">
      <c r="A38" s="11" t="n"/>
      <c r="B38" s="63" t="n">
        <v>21</v>
      </c>
      <c r="C38" s="85" t="inlineStr">
        <is>
          <t>Насос 1АСВН-80АМ(С)/6</t>
        </is>
      </c>
      <c r="D38" s="64" t="n"/>
      <c r="E38" s="64" t="n">
        <v>17002</v>
      </c>
      <c r="F38" s="63">
        <f>E38*D38</f>
        <v/>
      </c>
      <c r="G38" s="11" t="n"/>
      <c r="H38" s="11" t="n"/>
    </row>
    <row r="39" hidden="1" ht="15.75" customHeight="1">
      <c r="A39" s="11" t="n"/>
      <c r="B39" s="63" t="n">
        <v>22</v>
      </c>
      <c r="C39" s="65" t="inlineStr">
        <is>
          <t>Насос 20А-18-1-11</t>
        </is>
      </c>
      <c r="D39" s="45" t="n"/>
      <c r="E39" s="45" t="n">
        <v>30548</v>
      </c>
      <c r="F39" s="87">
        <f>E39*D39</f>
        <v/>
      </c>
      <c r="G39" s="11" t="n"/>
      <c r="H39" s="11" t="n"/>
    </row>
    <row r="40" hidden="1" ht="15.75" customHeight="1">
      <c r="A40" s="11" t="n"/>
      <c r="B40" s="63" t="n">
        <v>23</v>
      </c>
      <c r="C40" s="85" t="inlineStr">
        <is>
          <t>Насос BUL 6,3/64</t>
        </is>
      </c>
      <c r="D40" s="64" t="n"/>
      <c r="E40" s="64" t="n">
        <v>1479</v>
      </c>
      <c r="F40" s="63">
        <f>E40*D40</f>
        <v/>
      </c>
      <c r="G40" s="11" t="n"/>
      <c r="H40" s="11" t="n"/>
    </row>
    <row r="41" hidden="1" ht="15.75" customHeight="1">
      <c r="A41" s="11" t="n"/>
      <c r="B41" s="63" t="n">
        <v>24</v>
      </c>
      <c r="C41" s="85" t="inlineStr">
        <is>
          <t>Насос CR15-02</t>
        </is>
      </c>
      <c r="D41" s="64" t="n"/>
      <c r="E41" s="64" t="n">
        <v>12852</v>
      </c>
      <c r="F41" s="63">
        <f>E41*D41</f>
        <v/>
      </c>
      <c r="G41" s="11" t="n"/>
      <c r="H41" s="11" t="n"/>
    </row>
    <row r="42" hidden="1" ht="15.75" customHeight="1">
      <c r="A42" s="11" t="n"/>
      <c r="B42" s="63" t="n">
        <v>25</v>
      </c>
      <c r="C42" s="85" t="inlineStr">
        <is>
          <t>Насос CRE20-01</t>
        </is>
      </c>
      <c r="D42" s="64" t="n"/>
      <c r="E42" s="64" t="n">
        <v>12852</v>
      </c>
      <c r="F42" s="63">
        <f>E42*D42</f>
        <v/>
      </c>
      <c r="G42" s="11" t="n"/>
      <c r="H42" s="11" t="n"/>
    </row>
    <row r="43" hidden="1" ht="15.75" customHeight="1">
      <c r="A43" s="11" t="n"/>
      <c r="B43" s="63" t="n">
        <v>26</v>
      </c>
      <c r="C43" s="85" t="inlineStr">
        <is>
          <t>Насос KRGH 40/315; KRGH 80/315, KRGH 200/500</t>
        </is>
      </c>
      <c r="D43" s="64" t="n"/>
      <c r="E43" s="64" t="n">
        <v>22284</v>
      </c>
      <c r="F43" s="63">
        <f>E43*D43</f>
        <v/>
      </c>
      <c r="G43" s="11" t="n"/>
      <c r="H43" s="11" t="n"/>
    </row>
    <row r="44" hidden="1" ht="15.75" customHeight="1">
      <c r="A44" s="11" t="n"/>
      <c r="B44" s="63" t="n">
        <v>27</v>
      </c>
      <c r="C44" s="85" t="inlineStr">
        <is>
          <t xml:space="preserve">Насос NF50BP </t>
        </is>
      </c>
      <c r="D44" s="64" t="n"/>
      <c r="E44" s="64" t="n">
        <v>22284</v>
      </c>
      <c r="F44" s="63">
        <f>E44*D44</f>
        <v/>
      </c>
      <c r="G44" s="11" t="n"/>
      <c r="H44" s="11" t="n"/>
    </row>
    <row r="45" hidden="1" ht="15.75" customHeight="1">
      <c r="A45" s="11" t="n"/>
      <c r="B45" s="63" t="n">
        <v>28</v>
      </c>
      <c r="C45" s="85" t="inlineStr">
        <is>
          <t>Насос NM038BT02S12B</t>
        </is>
      </c>
      <c r="D45" s="64" t="n"/>
      <c r="E45" s="64" t="n">
        <v>30548</v>
      </c>
      <c r="F45" s="63">
        <f>E45*D45</f>
        <v/>
      </c>
      <c r="G45" s="11" t="n"/>
      <c r="H45" s="11" t="n"/>
    </row>
    <row r="46" hidden="1" ht="15.75" customHeight="1">
      <c r="A46" s="11" t="n"/>
      <c r="B46" s="63" t="n">
        <v>29</v>
      </c>
      <c r="C46" s="85" t="inlineStr">
        <is>
          <t>Насос PIAX 32/28</t>
        </is>
      </c>
      <c r="D46" s="64" t="n"/>
      <c r="E46" s="64" t="n">
        <v>1997</v>
      </c>
      <c r="F46" s="63">
        <f>E46*D46</f>
        <v/>
      </c>
      <c r="G46" s="11" t="n"/>
      <c r="H46" s="11" t="n"/>
    </row>
    <row r="47" hidden="1" ht="15.75" customHeight="1">
      <c r="A47" s="11" t="n"/>
      <c r="B47" s="63" t="n">
        <v>30</v>
      </c>
      <c r="C47" s="85" t="inlineStr">
        <is>
          <t>Насос PKG100L50H17 2/9C5VV3Z</t>
        </is>
      </c>
      <c r="D47" s="64" t="n"/>
      <c r="E47" s="64" t="n">
        <v>23597</v>
      </c>
      <c r="F47" s="63">
        <f>E47*D47</f>
        <v/>
      </c>
      <c r="G47" s="11" t="n"/>
      <c r="H47" s="11" t="n"/>
    </row>
    <row r="48" hidden="1" ht="15.75" customHeight="1">
      <c r="A48" s="11" t="n"/>
      <c r="B48" s="63" t="n">
        <v>31</v>
      </c>
      <c r="C48" s="85" t="inlineStr">
        <is>
          <t>Насос SEG 40.12.2/1.502</t>
        </is>
      </c>
      <c r="D48" s="64" t="n"/>
      <c r="E48" s="45" t="n">
        <v>23597</v>
      </c>
      <c r="F48" s="63">
        <f>E48*D48</f>
        <v/>
      </c>
      <c r="G48" s="11" t="n"/>
      <c r="H48" s="11" t="n"/>
    </row>
    <row r="49" ht="15.75" customHeight="1">
      <c r="A49" s="11" t="n"/>
      <c r="B49" s="63" t="n">
        <v>32</v>
      </c>
      <c r="C49" s="85" t="inlineStr">
        <is>
          <t>Насос АХП 45/31, АХП 50-32-200…80-65-160</t>
        </is>
      </c>
      <c r="D49" s="64" t="n"/>
      <c r="E49" s="64" t="n">
        <v>5027</v>
      </c>
      <c r="F49" s="63">
        <f>E49*D49</f>
        <v/>
      </c>
      <c r="G49" s="11" t="n"/>
      <c r="H49" s="11" t="n"/>
    </row>
    <row r="50" ht="15.75" customHeight="1">
      <c r="A50" s="11" t="n"/>
      <c r="B50" s="63" t="n">
        <v>33</v>
      </c>
      <c r="C50" s="85" t="inlineStr">
        <is>
          <t>Насос ВКС 2/26</t>
        </is>
      </c>
      <c r="D50" s="64" t="n"/>
      <c r="E50" s="64" t="n">
        <v>1997</v>
      </c>
      <c r="F50" s="63">
        <f>E50*D50</f>
        <v/>
      </c>
      <c r="G50" s="11" t="n"/>
      <c r="H50" s="11" t="n"/>
    </row>
    <row r="51" ht="15.75" customHeight="1">
      <c r="A51" s="11" t="n"/>
      <c r="B51" s="63" t="n">
        <v>34</v>
      </c>
      <c r="C51" s="85" t="inlineStr">
        <is>
          <t>Насос ВНД 80/43; ВНД 50/350, ВНД 50/100, ВНД 6,3/12,5</t>
        </is>
      </c>
      <c r="D51" s="63" t="n"/>
      <c r="E51" s="63" t="n">
        <v>4245</v>
      </c>
      <c r="F51" s="63">
        <f>E51*D51</f>
        <v/>
      </c>
      <c r="G51" s="11" t="n"/>
      <c r="H51" s="11" t="n"/>
    </row>
    <row r="52" ht="27.75" customHeight="1">
      <c r="A52" s="11" t="n"/>
      <c r="B52" s="63" t="n">
        <v>35</v>
      </c>
      <c r="C52" s="85" t="inlineStr">
        <is>
          <t>Насос горизонтальный консольный типа К80-65-160…100-65-250</t>
        </is>
      </c>
      <c r="D52" s="63" t="n">
        <v>10</v>
      </c>
      <c r="E52" s="87" t="n">
        <v>4840</v>
      </c>
      <c r="F52" s="63">
        <f>E52*D52</f>
        <v/>
      </c>
      <c r="G52" s="11" t="n"/>
      <c r="H52" s="11" t="n"/>
    </row>
    <row r="53" hidden="1" ht="15.75" customHeight="1">
      <c r="A53" s="11" t="n"/>
      <c r="B53" s="63" t="n">
        <v>36</v>
      </c>
      <c r="C53" s="85" t="inlineStr">
        <is>
          <t>Насос ГХИ 6,3/32</t>
        </is>
      </c>
      <c r="D53" s="63" t="n"/>
      <c r="E53" s="63" t="n">
        <v>4670</v>
      </c>
      <c r="F53" s="63">
        <f>E53*D53</f>
        <v/>
      </c>
      <c r="G53" s="11" t="n"/>
      <c r="H53" s="11" t="n"/>
    </row>
    <row r="54" ht="15.75" customHeight="1">
      <c r="A54" s="11" t="n"/>
      <c r="B54" s="63" t="n">
        <v>37</v>
      </c>
      <c r="C54" s="85" t="inlineStr">
        <is>
          <t>Насос дозировочный типа ДП</t>
        </is>
      </c>
      <c r="D54" s="63" t="n"/>
      <c r="E54" s="63" t="n">
        <v>3213</v>
      </c>
      <c r="F54" s="63">
        <f>E54*D54</f>
        <v/>
      </c>
      <c r="G54" s="11" t="n"/>
      <c r="H54" s="11" t="n"/>
    </row>
    <row r="55" ht="15.75" customHeight="1">
      <c r="A55" s="11" t="n"/>
      <c r="B55" s="63" t="n">
        <v>38</v>
      </c>
      <c r="C55" s="85" t="inlineStr">
        <is>
          <t>Насос дозировочный типа НД 0,1…40/10...160</t>
        </is>
      </c>
      <c r="D55" s="63" t="n"/>
      <c r="E55" s="63" t="n">
        <v>5760</v>
      </c>
      <c r="F55" s="63">
        <f>E55*D55</f>
        <v/>
      </c>
      <c r="G55" s="11" t="n"/>
      <c r="H55" s="11" t="n"/>
    </row>
    <row r="56" hidden="1" ht="15.75" customHeight="1">
      <c r="A56" s="11" t="n"/>
      <c r="B56" s="63" t="n">
        <v>39</v>
      </c>
      <c r="C56" s="85" t="inlineStr">
        <is>
          <t>Насос дозировочный типа НДМ,НДХ (мембранные)</t>
        </is>
      </c>
      <c r="D56" s="45" t="n"/>
      <c r="E56" s="45" t="n">
        <v>9056</v>
      </c>
      <c r="F56" s="87">
        <f>E56*D56</f>
        <v/>
      </c>
      <c r="G56" s="11" t="n"/>
      <c r="H56" s="11" t="n"/>
    </row>
    <row r="57" hidden="1" ht="15.75" customHeight="1">
      <c r="A57" s="11" t="n"/>
      <c r="B57" s="63" t="n">
        <v>40</v>
      </c>
      <c r="C57" s="85" t="inlineStr">
        <is>
          <t>Насос дозировочный типа УН1Д-Р</t>
        </is>
      </c>
      <c r="D57" s="64" t="n"/>
      <c r="E57" s="64" t="n">
        <v>9056</v>
      </c>
      <c r="F57" s="63">
        <f>E57*D57</f>
        <v/>
      </c>
      <c r="G57" s="11" t="n"/>
      <c r="H57" s="11" t="n"/>
    </row>
    <row r="58" ht="30.75" customHeight="1">
      <c r="A58" s="11" t="n"/>
      <c r="B58" s="63" t="n">
        <v>41</v>
      </c>
      <c r="C58" s="85" t="inlineStr">
        <is>
          <t>Насос НВ-Мв-50/80; Насос НВ-Мв-Е-50/80; Насос НВ-Мт-50/80; Насос НВ-Мт-Е-50/80; НВД 50/80</t>
        </is>
      </c>
      <c r="D58" s="63" t="n"/>
      <c r="E58" s="63" t="n">
        <v>4245</v>
      </c>
      <c r="F58" s="63">
        <f>E58*D58</f>
        <v/>
      </c>
      <c r="G58" s="11" t="n"/>
      <c r="H58" s="11" t="n"/>
    </row>
    <row r="59" ht="41.25" customHeight="1">
      <c r="A59" s="11" t="n"/>
      <c r="B59" s="63" t="n">
        <v>42</v>
      </c>
      <c r="C59" s="85" t="inlineStr">
        <is>
          <t>Насос НВ-Мн-50/50; Насос НВ-Мн-Е-50/50; Насос НВ-Мт-50/50; Насос НВ-Мт-Е-50/50; НВД 50/50; Насос НВ-50/50; Насос НВ-Е-50/50</t>
        </is>
      </c>
      <c r="D59" s="45" t="n"/>
      <c r="E59" s="64" t="n">
        <v>4245</v>
      </c>
      <c r="F59" s="63">
        <f>E59*D59</f>
        <v/>
      </c>
      <c r="G59" s="11" t="n"/>
      <c r="H59" s="11" t="n"/>
    </row>
    <row r="60" ht="15" customHeight="1">
      <c r="A60" s="11" t="n"/>
      <c r="B60" s="63" t="n">
        <v>43</v>
      </c>
      <c r="C60" s="85" t="inlineStr">
        <is>
          <t xml:space="preserve">Насос НПВ 1250/60 </t>
        </is>
      </c>
      <c r="D60" s="64" t="n"/>
      <c r="E60" s="64" t="n">
        <v>183344</v>
      </c>
      <c r="F60" s="63">
        <f>E60*D60</f>
        <v/>
      </c>
      <c r="G60" s="11" t="n"/>
      <c r="H60" s="11" t="n"/>
    </row>
    <row r="61" hidden="1" ht="15.75" customHeight="1">
      <c r="A61" s="11" t="n"/>
      <c r="B61" s="63" t="n">
        <v>44</v>
      </c>
      <c r="C61" s="85" t="inlineStr">
        <is>
          <t>Насос НЦСГ-Е-5-100-П2,5; НЦСГ-Е-12,5-150 -П2,5; НЦСГ-Е-2-40-П</t>
        </is>
      </c>
      <c r="D61" s="64" t="n"/>
      <c r="E61" s="64" t="n">
        <v>78242</v>
      </c>
      <c r="F61" s="63">
        <f>E61*D61</f>
        <v/>
      </c>
      <c r="G61" s="11" t="n"/>
      <c r="H61" s="11" t="n"/>
    </row>
    <row r="62" hidden="1" ht="15.75" customHeight="1">
      <c r="A62" s="11" t="n"/>
      <c r="B62" s="63" t="n">
        <v>45</v>
      </c>
      <c r="C62" s="85" t="inlineStr">
        <is>
          <t>Насос СR 32-3-2</t>
        </is>
      </c>
      <c r="D62" s="64" t="n"/>
      <c r="E62" s="64" t="n">
        <v>4348</v>
      </c>
      <c r="F62" s="63">
        <f>E62*D62</f>
        <v/>
      </c>
      <c r="G62" s="11" t="n"/>
      <c r="H62" s="11" t="n"/>
    </row>
    <row r="63" ht="15.75" customHeight="1">
      <c r="A63" s="11" t="n"/>
      <c r="B63" s="63" t="n">
        <v>46</v>
      </c>
      <c r="C63" s="85" t="inlineStr">
        <is>
          <t>Насос типа ЦГ6,3/32-2,2-2; ЦГ 6,3/32-2,2-5; ЦГ 6,3/20-1,1-2; ЦГ 6,3/32-1,1-5</t>
        </is>
      </c>
      <c r="D63" s="64" t="n">
        <v>2</v>
      </c>
      <c r="E63" s="64" t="n">
        <v>12556</v>
      </c>
      <c r="F63" s="63">
        <f>E63*D63</f>
        <v/>
      </c>
      <c r="G63" s="11" t="n"/>
      <c r="H63" s="11" t="n"/>
    </row>
    <row r="64" hidden="1" ht="15.75" customHeight="1">
      <c r="A64" s="11" t="n"/>
      <c r="B64" s="63" t="n">
        <v>47</v>
      </c>
      <c r="C64" s="85" t="inlineStr">
        <is>
          <t>Насос ТР 100-820/2</t>
        </is>
      </c>
      <c r="D64" s="45" t="n"/>
      <c r="E64" s="45" t="n">
        <v>12556</v>
      </c>
      <c r="F64" s="87">
        <f>E64*D64</f>
        <v/>
      </c>
      <c r="G64" s="11" t="n"/>
      <c r="H64" s="11" t="n"/>
    </row>
    <row r="65" hidden="1" ht="15.75" customHeight="1">
      <c r="A65" s="11" t="n"/>
      <c r="B65" s="63" t="n">
        <v>48</v>
      </c>
      <c r="C65" s="85" t="inlineStr">
        <is>
          <t>Насос ХПЕ 80-50-200</t>
        </is>
      </c>
      <c r="D65" s="64" t="n"/>
      <c r="E65" s="45" t="n">
        <v>12556</v>
      </c>
      <c r="F65" s="63">
        <f>E65*D65</f>
        <v/>
      </c>
      <c r="G65" s="11" t="n"/>
      <c r="H65" s="11" t="n"/>
    </row>
    <row r="66" ht="19.5" customHeight="1">
      <c r="A66" s="11" t="n"/>
      <c r="B66" s="63" t="n">
        <v>49</v>
      </c>
      <c r="C66" s="85" t="inlineStr">
        <is>
          <t>Насос ЦНС 105/98…490</t>
        </is>
      </c>
      <c r="D66" s="64" t="n">
        <v>2</v>
      </c>
      <c r="E66" s="45" t="n">
        <v>67101</v>
      </c>
      <c r="F66" s="63">
        <f>E66*D66</f>
        <v/>
      </c>
      <c r="G66" s="11" t="n"/>
      <c r="H66" s="11" t="n"/>
    </row>
    <row r="67" ht="16.5" customHeight="1">
      <c r="A67" s="11" t="n"/>
      <c r="B67" s="63" t="n">
        <v>50</v>
      </c>
      <c r="C67" s="85" t="inlineStr">
        <is>
          <t>Насос ЦНС 105/98…490 с торцевым уплотнением</t>
        </is>
      </c>
      <c r="D67" s="64" t="n">
        <v>1</v>
      </c>
      <c r="E67" s="64" t="n">
        <v>67101</v>
      </c>
      <c r="F67" s="63">
        <f>E67*D67</f>
        <v/>
      </c>
      <c r="G67" s="11" t="n"/>
      <c r="H67" s="11" t="n"/>
    </row>
    <row r="68" ht="15" customHeight="1">
      <c r="A68" s="11" t="n"/>
      <c r="B68" s="63" t="n">
        <v>51</v>
      </c>
      <c r="C68" s="85" t="inlineStr">
        <is>
          <t>Насос ЦНС 100...180/870…2050</t>
        </is>
      </c>
      <c r="D68" s="64" t="n">
        <v>2</v>
      </c>
      <c r="E68" s="64" t="n">
        <v>106216</v>
      </c>
      <c r="F68" s="63">
        <f>E68*D68</f>
        <v/>
      </c>
      <c r="G68" s="11" t="n"/>
      <c r="H68" s="11" t="n"/>
    </row>
    <row r="69" ht="15.75" customHeight="1">
      <c r="A69" s="11" t="n"/>
      <c r="B69" s="63" t="n">
        <v>52</v>
      </c>
      <c r="C69" s="85" t="inlineStr">
        <is>
          <t>Насос ЦНС 180/85…425</t>
        </is>
      </c>
      <c r="D69" s="64" t="n"/>
      <c r="E69" s="64" t="n">
        <v>77843</v>
      </c>
      <c r="F69" s="63">
        <f>E69*D69</f>
        <v/>
      </c>
      <c r="G69" s="11" t="n"/>
      <c r="H69" s="11" t="n"/>
    </row>
    <row r="70" ht="18.75" customHeight="1">
      <c r="A70" s="11" t="n"/>
      <c r="B70" s="63" t="n">
        <v>53</v>
      </c>
      <c r="C70" s="85" t="inlineStr">
        <is>
          <t>Насос ЦНС 180/85…425 с торцевым уплотнением</t>
        </is>
      </c>
      <c r="D70" s="64" t="n"/>
      <c r="E70" s="64" t="n">
        <v>77843</v>
      </c>
      <c r="F70" s="63" t="n"/>
      <c r="G70" s="11" t="n"/>
      <c r="H70" s="11" t="n"/>
    </row>
    <row r="71" ht="14.25" customHeight="1">
      <c r="A71" s="11" t="n"/>
      <c r="B71" s="63" t="n">
        <v>54</v>
      </c>
      <c r="C71" s="65" t="inlineStr">
        <is>
          <t xml:space="preserve">Насос ЦНС 225...280/870...1900 </t>
        </is>
      </c>
      <c r="D71" s="45" t="n">
        <v>11</v>
      </c>
      <c r="E71" s="45" t="n">
        <v>106216</v>
      </c>
      <c r="F71" s="87">
        <f>E71*D71</f>
        <v/>
      </c>
      <c r="G71" s="11" t="n"/>
      <c r="H71" s="11" t="n"/>
    </row>
    <row r="72" ht="15" customHeight="1">
      <c r="A72" s="11" t="n"/>
      <c r="B72" s="63" t="n">
        <v>55</v>
      </c>
      <c r="C72" s="85" t="inlineStr">
        <is>
          <t>Насос ЦНС 300/120…300</t>
        </is>
      </c>
      <c r="D72" s="64" t="n"/>
      <c r="E72" s="64" t="n">
        <v>92438</v>
      </c>
      <c r="F72" s="63">
        <f>E72*D72</f>
        <v/>
      </c>
      <c r="G72" s="11" t="n"/>
      <c r="H72" s="11" t="n"/>
    </row>
    <row r="73" ht="24.95" customHeight="1">
      <c r="A73" s="11" t="n"/>
      <c r="B73" s="63" t="n">
        <v>56</v>
      </c>
      <c r="C73" s="85" t="inlineStr">
        <is>
          <t>Насос ЦНС 300/120…300 с торцевым уплотнением</t>
        </is>
      </c>
      <c r="D73" s="63" t="n"/>
      <c r="E73" s="63" t="n">
        <v>92438</v>
      </c>
      <c r="F73" s="63">
        <f>E73*D73</f>
        <v/>
      </c>
      <c r="G73" s="11" t="n"/>
      <c r="H73" s="11" t="n"/>
    </row>
    <row r="74" ht="15.75" customHeight="1">
      <c r="A74" s="11" t="n"/>
      <c r="B74" s="63" t="n">
        <v>57</v>
      </c>
      <c r="C74" s="85" t="inlineStr">
        <is>
          <t>Насос ЦНС 300/360…660</t>
        </is>
      </c>
      <c r="D74" s="63" t="n"/>
      <c r="E74" s="87" t="n">
        <v>92438</v>
      </c>
      <c r="F74" s="63">
        <f>E74*D74</f>
        <v/>
      </c>
      <c r="G74" s="11" t="n"/>
      <c r="H74" s="11" t="n"/>
    </row>
    <row r="75" ht="28.5" customHeight="1">
      <c r="A75" s="11" t="n"/>
      <c r="B75" s="63" t="n">
        <v>58</v>
      </c>
      <c r="C75" s="85" t="inlineStr">
        <is>
          <t>Насос ЦНС 300/360…660 с торцевым уплотнением</t>
        </is>
      </c>
      <c r="D75" s="63" t="n"/>
      <c r="E75" s="63" t="n">
        <v>92438</v>
      </c>
      <c r="F75" s="63">
        <f>E75*D75</f>
        <v/>
      </c>
      <c r="G75" s="11" t="n"/>
      <c r="H75" s="11" t="n"/>
    </row>
    <row r="76" ht="14.25" customHeight="1">
      <c r="A76" s="11" t="n"/>
      <c r="B76" s="63" t="n">
        <v>59</v>
      </c>
      <c r="C76" s="85" t="inlineStr">
        <is>
          <t>Насос ЦНС 310-1510</t>
        </is>
      </c>
      <c r="D76" s="63" t="n">
        <v>2</v>
      </c>
      <c r="E76" s="63" t="n">
        <v>106216</v>
      </c>
      <c r="F76" s="63">
        <f>E76*D76</f>
        <v/>
      </c>
      <c r="G76" s="11" t="n"/>
      <c r="H76" s="11" t="n"/>
    </row>
    <row r="77" ht="14.25" customHeight="1">
      <c r="A77" s="11" t="n"/>
      <c r="B77" s="63" t="n">
        <v>60</v>
      </c>
      <c r="C77" s="85" t="inlineStr">
        <is>
          <t>Насос ЦНС 320-1350</t>
        </is>
      </c>
      <c r="D77" s="63" t="n">
        <v>1</v>
      </c>
      <c r="E77" s="63" t="n">
        <v>106216</v>
      </c>
      <c r="F77" s="63">
        <f>E77*D77</f>
        <v/>
      </c>
      <c r="G77" s="11" t="n"/>
      <c r="H77" s="11" t="n"/>
    </row>
    <row r="78" ht="18" customHeight="1">
      <c r="A78" s="11" t="n"/>
      <c r="B78" s="63" t="n">
        <v>61</v>
      </c>
      <c r="C78" s="85" t="inlineStr">
        <is>
          <t>Насос ЦНС 350-1650</t>
        </is>
      </c>
      <c r="D78" s="45" t="n"/>
      <c r="E78" s="45" t="n">
        <v>106216</v>
      </c>
      <c r="F78" s="87">
        <f>E78*D78</f>
        <v/>
      </c>
      <c r="G78" s="11" t="n"/>
      <c r="H78" s="11" t="n"/>
    </row>
    <row r="79" ht="17.25" customHeight="1">
      <c r="A79" s="11" t="n"/>
      <c r="B79" s="63" t="n">
        <v>62</v>
      </c>
      <c r="C79" s="85" t="inlineStr">
        <is>
          <t>Насос ЦНС 40/1400</t>
        </is>
      </c>
      <c r="D79" s="64" t="n">
        <v>1</v>
      </c>
      <c r="E79" s="64" t="n">
        <v>106216</v>
      </c>
      <c r="F79" s="63">
        <f>E79*D79</f>
        <v/>
      </c>
      <c r="G79" s="11" t="n"/>
      <c r="H79" s="11" t="n"/>
    </row>
    <row r="80" ht="15.75" customHeight="1">
      <c r="A80" s="11" t="n"/>
      <c r="B80" s="63" t="n">
        <v>63</v>
      </c>
      <c r="C80" s="85" t="inlineStr">
        <is>
          <t>Насос ЦНС-13/70…350</t>
        </is>
      </c>
      <c r="D80" s="63" t="n"/>
      <c r="E80" s="63" t="n">
        <v>46677</v>
      </c>
      <c r="F80" s="63">
        <f>E80*D80</f>
        <v/>
      </c>
      <c r="G80" s="11" t="n"/>
      <c r="H80" s="11" t="n"/>
    </row>
    <row r="81" ht="15.75" customHeight="1">
      <c r="A81" s="11" t="n"/>
      <c r="B81" s="63" t="n">
        <v>64</v>
      </c>
      <c r="C81" s="85" t="inlineStr">
        <is>
          <t>Насос ЦНС-13/70…350 с торцевым уплотнением</t>
        </is>
      </c>
      <c r="D81" s="64" t="n"/>
      <c r="E81" s="64" t="n">
        <v>46677</v>
      </c>
      <c r="F81" s="63">
        <f>E81*D81</f>
        <v/>
      </c>
      <c r="G81" s="11" t="n"/>
      <c r="H81" s="11" t="n"/>
    </row>
    <row r="82" ht="19.5" customHeight="1">
      <c r="A82" s="11" t="n"/>
      <c r="B82" s="63" t="n">
        <v>65</v>
      </c>
      <c r="C82" s="85" t="inlineStr">
        <is>
          <t>Насос ЦНС-38/44…220</t>
        </is>
      </c>
      <c r="D82" s="64" t="n"/>
      <c r="E82" s="64" t="n">
        <v>46677</v>
      </c>
      <c r="F82" s="63">
        <f>E82*D82</f>
        <v/>
      </c>
      <c r="G82" s="11" t="n"/>
      <c r="H82" s="11" t="n"/>
    </row>
    <row r="83" ht="16.5" customHeight="1">
      <c r="A83" s="11" t="n"/>
      <c r="B83" s="63" t="n">
        <v>66</v>
      </c>
      <c r="C83" s="85" t="inlineStr">
        <is>
          <t>Насос ЦНС-38/44…220 с торцевым уплотнением</t>
        </is>
      </c>
      <c r="D83" s="64" t="n">
        <v>3</v>
      </c>
      <c r="E83" s="64" t="n">
        <v>46677</v>
      </c>
      <c r="F83" s="63">
        <f>E83*D83</f>
        <v/>
      </c>
      <c r="G83" s="11" t="n"/>
      <c r="H83" s="11" t="n"/>
    </row>
    <row r="84" ht="15.75" customHeight="1">
      <c r="A84" s="11" t="n"/>
      <c r="B84" s="63" t="n">
        <v>67</v>
      </c>
      <c r="C84" s="85" t="inlineStr">
        <is>
          <t>Насос ЦНС-60/66…330</t>
        </is>
      </c>
      <c r="D84" s="64" t="n">
        <v>1</v>
      </c>
      <c r="E84" s="64" t="n">
        <v>46677</v>
      </c>
      <c r="F84" s="63">
        <f>E84*D84</f>
        <v/>
      </c>
      <c r="G84" s="11" t="n"/>
      <c r="H84" s="11" t="n"/>
    </row>
    <row r="85" ht="16.5" customHeight="1">
      <c r="A85" s="11" t="n"/>
      <c r="B85" s="63" t="n">
        <v>68</v>
      </c>
      <c r="C85" s="85" t="inlineStr">
        <is>
          <t>Насос ЦНС-60/66…330 с торцевым уплотнением</t>
        </is>
      </c>
      <c r="D85" s="64" t="n">
        <v>2</v>
      </c>
      <c r="E85" s="64" t="n">
        <v>46677</v>
      </c>
      <c r="F85" s="63">
        <f>E85*D85</f>
        <v/>
      </c>
      <c r="G85" s="11" t="n"/>
      <c r="H85" s="11" t="n"/>
    </row>
    <row r="86" ht="15.75" customHeight="1">
      <c r="A86" s="11" t="n"/>
      <c r="B86" s="63" t="n">
        <v>69</v>
      </c>
      <c r="C86" s="85" t="inlineStr">
        <is>
          <t xml:space="preserve">Насос ЦНС-63/1000...1900 </t>
        </is>
      </c>
      <c r="D86" s="45" t="n"/>
      <c r="E86" s="45" t="n">
        <v>106216</v>
      </c>
      <c r="F86" s="87">
        <f>E86*D86</f>
        <v/>
      </c>
      <c r="G86" s="11" t="n"/>
      <c r="H86" s="11" t="n"/>
    </row>
    <row r="87" ht="15.75" customHeight="1">
      <c r="A87" s="11" t="n"/>
      <c r="B87" s="63" t="n">
        <v>70</v>
      </c>
      <c r="C87" s="85" t="inlineStr">
        <is>
          <t xml:space="preserve">Насос ЦНС-90/1100...1900 </t>
        </is>
      </c>
      <c r="D87" s="64" t="n"/>
      <c r="E87" s="45" t="n">
        <v>106216</v>
      </c>
      <c r="F87" s="63">
        <f>E87*D87</f>
        <v/>
      </c>
      <c r="G87" s="11" t="n"/>
      <c r="H87" s="11" t="n"/>
    </row>
    <row r="88" ht="40.5" customHeight="1">
      <c r="A88" s="11" t="n"/>
      <c r="B88" s="63" t="n">
        <v>71</v>
      </c>
      <c r="C88" s="85" t="inlineStr">
        <is>
          <t>Насос шестеренный типа НМШ5-25-4,0/4; НМШ5-25-4,0/10; НМШ5-25-4,0/25; НМШ8-25-6,3/2,5; НМШ8-25-6,3/10; НМШ8-25-6,3/25, НШ 5/25</t>
        </is>
      </c>
      <c r="D88" s="45" t="n"/>
      <c r="E88" s="45" t="n">
        <v>3588</v>
      </c>
      <c r="F88" s="87">
        <f>E88*D88</f>
        <v/>
      </c>
      <c r="G88" s="11" t="n"/>
      <c r="H88" s="11" t="n"/>
    </row>
    <row r="89" hidden="1" ht="15.75" customHeight="1">
      <c r="A89" s="11" t="n"/>
      <c r="B89" s="63" t="n">
        <v>72</v>
      </c>
      <c r="C89" s="85" t="inlineStr">
        <is>
          <t>Поршневой компрессор К2</t>
        </is>
      </c>
      <c r="D89" s="64" t="n"/>
      <c r="E89" s="64" t="n">
        <v>5163</v>
      </c>
      <c r="F89" s="63">
        <f>E89*D89</f>
        <v/>
      </c>
      <c r="G89" s="11" t="n"/>
      <c r="H89" s="11" t="n"/>
    </row>
    <row r="90" ht="12.75" customHeight="1">
      <c r="A90" s="11" t="n"/>
      <c r="B90" s="85" t="inlineStr">
        <is>
          <t>ИТОГО:</t>
        </is>
      </c>
      <c r="D90" s="64" t="n"/>
      <c r="E90" s="64" t="n"/>
      <c r="F90" s="63">
        <f>SUM(F18:F89)</f>
        <v/>
      </c>
      <c r="G90" s="11" t="n"/>
      <c r="H90" s="11" t="n"/>
    </row>
    <row r="91" ht="18.75" customHeight="1">
      <c r="A91" s="11" t="n"/>
      <c r="B91" s="90" t="inlineStr">
        <is>
          <t>ТЕКУЩИЙ РЕМОНТ ОБОРУДОВАНИЯ</t>
        </is>
      </c>
      <c r="C91" s="85" t="n"/>
      <c r="D91" s="63" t="n"/>
      <c r="E91" s="63" t="n"/>
      <c r="F91" s="63" t="n"/>
      <c r="G91" s="11" t="n"/>
      <c r="H91" s="11" t="n"/>
    </row>
    <row r="92" hidden="1" ht="25.5" customHeight="1">
      <c r="A92" s="11" t="n"/>
      <c r="B92" s="94" t="inlineStr">
        <is>
          <t>1</t>
        </is>
      </c>
      <c r="C92" s="66" t="inlineStr">
        <is>
          <t>Агрегат турбокомпрессорный ТКА-Ц-12/0,4-6,1М1 без двигателя</t>
        </is>
      </c>
      <c r="D92" s="64" t="n"/>
      <c r="E92" s="64" t="n">
        <v>3072582</v>
      </c>
      <c r="F92" s="26">
        <f>E92*D92</f>
        <v/>
      </c>
      <c r="G92" s="11" t="n"/>
      <c r="H92" s="11" t="n"/>
    </row>
    <row r="93" hidden="1" ht="18.75" customHeight="1">
      <c r="A93" s="11" t="n"/>
      <c r="B93" s="94" t="inlineStr">
        <is>
          <t>2</t>
        </is>
      </c>
      <c r="C93" s="66" t="inlineStr">
        <is>
          <t>БНСП 1400-900</t>
        </is>
      </c>
      <c r="D93" s="64" t="n"/>
      <c r="E93" s="64" t="n">
        <v>387192</v>
      </c>
      <c r="F93" s="26">
        <f>E93*D93</f>
        <v/>
      </c>
      <c r="G93" s="11" t="n"/>
      <c r="H93" s="11" t="n"/>
    </row>
    <row r="94" hidden="1" ht="18.75" customHeight="1">
      <c r="A94" s="11" t="n"/>
      <c r="B94" s="94" t="inlineStr">
        <is>
          <t>3</t>
        </is>
      </c>
      <c r="C94" s="100" t="inlineStr">
        <is>
          <t>ГНС 700</t>
        </is>
      </c>
      <c r="D94" s="64" t="n"/>
      <c r="E94" s="64" t="n">
        <v>387192</v>
      </c>
      <c r="F94" s="26">
        <f>E94*D94</f>
        <v/>
      </c>
      <c r="G94" s="11" t="n"/>
      <c r="H94" s="11" t="n"/>
    </row>
    <row r="95" hidden="1" ht="18.75" customHeight="1">
      <c r="A95" s="11" t="n"/>
      <c r="B95" s="94" t="inlineStr">
        <is>
          <t>4</t>
        </is>
      </c>
      <c r="C95" s="66" t="inlineStr">
        <is>
          <t>ГНС S 100 N</t>
        </is>
      </c>
      <c r="D95" s="64" t="n"/>
      <c r="E95" s="64" t="n">
        <v>387192</v>
      </c>
      <c r="F95" s="26">
        <f>E95*D95</f>
        <v/>
      </c>
      <c r="G95" s="11" t="n"/>
      <c r="H95" s="11" t="n"/>
    </row>
    <row r="96" hidden="1" ht="18.75" customHeight="1">
      <c r="A96" s="11" t="n"/>
      <c r="B96" s="94" t="inlineStr">
        <is>
          <t>5</t>
        </is>
      </c>
      <c r="C96" s="66" t="inlineStr">
        <is>
          <t>ГНС S 175 N</t>
        </is>
      </c>
      <c r="D96" s="45" t="n"/>
      <c r="E96" s="64" t="n">
        <v>387192</v>
      </c>
      <c r="F96" s="26">
        <f>E96*D96</f>
        <v/>
      </c>
      <c r="G96" s="11" t="n"/>
      <c r="H96" s="11" t="n"/>
    </row>
    <row r="97" hidden="1" ht="18.75" customHeight="1">
      <c r="A97" s="11" t="n"/>
      <c r="B97" s="94" t="inlineStr">
        <is>
          <t>6</t>
        </is>
      </c>
      <c r="C97" s="100" t="inlineStr">
        <is>
          <t>ГНУ 3000/1900</t>
        </is>
      </c>
      <c r="D97" s="64" t="n"/>
      <c r="E97" s="64" t="n">
        <v>384042</v>
      </c>
      <c r="F97" s="26">
        <f>E97*D97</f>
        <v/>
      </c>
      <c r="G97" s="11" t="n"/>
      <c r="H97" s="11" t="n"/>
    </row>
    <row r="98" hidden="1" ht="18.75" customHeight="1">
      <c r="A98" s="11" t="n"/>
      <c r="B98" s="94" t="inlineStr">
        <is>
          <t>7</t>
        </is>
      </c>
      <c r="C98" s="66" t="inlineStr">
        <is>
          <t>Насос плунжерный КАМАТ тип К</t>
        </is>
      </c>
      <c r="D98" s="64" t="n"/>
      <c r="E98" s="64" t="n">
        <v>134432</v>
      </c>
      <c r="F98" s="26">
        <f>E98*D98</f>
        <v/>
      </c>
      <c r="G98" s="11" t="n"/>
      <c r="H98" s="11" t="n"/>
    </row>
    <row r="99" hidden="1" ht="18.75" customHeight="1">
      <c r="A99" s="11" t="n"/>
      <c r="B99" s="94" t="inlineStr">
        <is>
          <t>8</t>
        </is>
      </c>
      <c r="C99" s="68" t="inlineStr">
        <is>
          <t>Компрессор 2НВ2КТ/126/330</t>
        </is>
      </c>
      <c r="D99" s="64" t="n"/>
      <c r="E99" s="64" t="n">
        <v>190520</v>
      </c>
      <c r="F99" s="26">
        <f>E99*D99</f>
        <v/>
      </c>
      <c r="G99" s="11" t="n"/>
      <c r="H99" s="11" t="n"/>
    </row>
    <row r="100" hidden="1" ht="18.75" customHeight="1">
      <c r="A100" s="11" t="n"/>
      <c r="B100" s="94" t="inlineStr">
        <is>
          <t>9</t>
        </is>
      </c>
      <c r="C100" s="66" t="inlineStr">
        <is>
          <t>Компрессор 4ВУ1-5/9</t>
        </is>
      </c>
      <c r="D100" s="64" t="n"/>
      <c r="E100" s="64" t="n">
        <v>93014</v>
      </c>
      <c r="F100" s="26">
        <f>E100*D100</f>
        <v/>
      </c>
      <c r="G100" s="11" t="n"/>
      <c r="H100" s="11" t="n"/>
    </row>
    <row r="101" hidden="1" ht="18.75" customHeight="1">
      <c r="A101" s="11" t="n"/>
      <c r="B101" s="94" t="inlineStr">
        <is>
          <t>10</t>
        </is>
      </c>
      <c r="C101" s="100" t="inlineStr">
        <is>
          <t>Компрессор A2YI-52-16-8, К-10А2У1-52-16</t>
        </is>
      </c>
      <c r="D101" s="64" t="n"/>
      <c r="E101" s="64" t="n">
        <v>92141</v>
      </c>
      <c r="F101" s="26">
        <f>E101*D101</f>
        <v/>
      </c>
      <c r="G101" s="11" t="n"/>
      <c r="H101" s="11" t="n"/>
    </row>
    <row r="102" hidden="1" ht="18.75" customHeight="1">
      <c r="A102" s="11" t="n"/>
      <c r="B102" s="94" t="inlineStr">
        <is>
          <t>11</t>
        </is>
      </c>
      <c r="C102" s="66" t="inlineStr">
        <is>
          <t>Компрессор воздушный Atlas Copco ZT90VSD</t>
        </is>
      </c>
      <c r="D102" s="64" t="n"/>
      <c r="E102" s="64" t="n">
        <v>185937</v>
      </c>
      <c r="F102" s="26">
        <f>E102*D102</f>
        <v/>
      </c>
      <c r="G102" s="11" t="n"/>
      <c r="H102" s="11" t="n"/>
    </row>
    <row r="103" hidden="1" ht="18.75" customHeight="1">
      <c r="A103" s="11" t="n"/>
      <c r="B103" s="94" t="inlineStr">
        <is>
          <t>12</t>
        </is>
      </c>
      <c r="C103" s="66" t="inlineStr">
        <is>
          <t>Компрессор ТАКАТ 11.05;  Борец 1С2ГП;  EGSI-S-150/200 WA</t>
        </is>
      </c>
      <c r="D103" s="64" t="n"/>
      <c r="E103" s="64" t="n">
        <v>125875</v>
      </c>
      <c r="F103" s="26">
        <f>E103*D103</f>
        <v/>
      </c>
      <c r="G103" s="11" t="n"/>
      <c r="H103" s="11" t="n"/>
    </row>
    <row r="104" ht="18.75" customHeight="1">
      <c r="A104" s="11" t="n"/>
      <c r="B104" s="94" t="inlineStr">
        <is>
          <t>13</t>
        </is>
      </c>
      <c r="C104" s="66" t="inlineStr">
        <is>
          <t>Насос Д160-112Б</t>
        </is>
      </c>
      <c r="D104" s="64" t="n"/>
      <c r="E104" s="64" t="n">
        <v>30605</v>
      </c>
      <c r="F104" s="26">
        <f>E104*D104</f>
        <v/>
      </c>
      <c r="G104" s="11" t="n"/>
      <c r="H104" s="11" t="n"/>
    </row>
    <row r="105" ht="18.75" customHeight="1">
      <c r="A105" s="11" t="n"/>
      <c r="B105" s="94" t="inlineStr">
        <is>
          <t>14</t>
        </is>
      </c>
      <c r="C105" s="66" t="inlineStr">
        <is>
          <t>Насос 1 Д200-90</t>
        </is>
      </c>
      <c r="D105" s="64" t="n"/>
      <c r="E105" s="64" t="n">
        <v>55397</v>
      </c>
      <c r="F105" s="26">
        <f>E105*D105</f>
        <v/>
      </c>
      <c r="G105" s="11" t="n"/>
      <c r="H105" s="11" t="n"/>
    </row>
    <row r="106" ht="18.75" customHeight="1">
      <c r="A106" s="11" t="n"/>
      <c r="B106" s="94" t="inlineStr">
        <is>
          <t>15</t>
        </is>
      </c>
      <c r="C106" s="100" t="inlineStr">
        <is>
          <t>Насос 1 Д250-125</t>
        </is>
      </c>
      <c r="D106" s="64" t="n"/>
      <c r="E106" s="64" t="n">
        <v>55397</v>
      </c>
      <c r="F106" s="26">
        <f>E106*D106</f>
        <v/>
      </c>
      <c r="G106" s="11" t="n"/>
      <c r="H106" s="11" t="n"/>
    </row>
    <row r="107" ht="18.75" customHeight="1">
      <c r="A107" s="11" t="n"/>
      <c r="B107" s="94" t="inlineStr">
        <is>
          <t>16</t>
        </is>
      </c>
      <c r="C107" s="100" t="inlineStr">
        <is>
          <t>Насос 1 Д315-50...71</t>
        </is>
      </c>
      <c r="D107" s="64" t="n"/>
      <c r="E107" s="64" t="n">
        <v>55397</v>
      </c>
      <c r="F107" s="26">
        <f>E107*D107</f>
        <v/>
      </c>
      <c r="G107" s="11" t="n"/>
      <c r="H107" s="11" t="n"/>
    </row>
    <row r="108" ht="18.75" customHeight="1">
      <c r="A108" s="11" t="n"/>
      <c r="B108" s="94" t="inlineStr">
        <is>
          <t>17</t>
        </is>
      </c>
      <c r="C108" s="100" t="inlineStr">
        <is>
          <t>Насос 1 Д500-63</t>
        </is>
      </c>
      <c r="D108" s="64" t="n"/>
      <c r="E108" s="64" t="n">
        <v>55397</v>
      </c>
      <c r="F108" s="26">
        <f>E108*D108</f>
        <v/>
      </c>
      <c r="G108" s="11" t="n"/>
      <c r="H108" s="11" t="n"/>
    </row>
    <row r="109" ht="18.75" customHeight="1">
      <c r="A109" s="11" t="n"/>
      <c r="B109" s="94" t="inlineStr">
        <is>
          <t>18</t>
        </is>
      </c>
      <c r="C109" s="100" t="inlineStr">
        <is>
          <t>Насос 1 Д630-90...125</t>
        </is>
      </c>
      <c r="D109" s="64" t="n">
        <v>1</v>
      </c>
      <c r="E109" s="64" t="n">
        <v>87011</v>
      </c>
      <c r="F109" s="26">
        <f>E109*D109</f>
        <v/>
      </c>
      <c r="G109" s="11" t="n"/>
      <c r="H109" s="11" t="n"/>
    </row>
    <row r="110" ht="15.75" customHeight="1">
      <c r="A110" s="11" t="n"/>
      <c r="B110" s="94" t="inlineStr">
        <is>
          <t>19</t>
        </is>
      </c>
      <c r="C110" s="100" t="inlineStr">
        <is>
          <t>Насос 1 Д1250-63…125</t>
        </is>
      </c>
      <c r="D110" s="64" t="n"/>
      <c r="E110" s="64" t="n">
        <v>96474</v>
      </c>
      <c r="F110" s="26">
        <f>E110*D110</f>
        <v/>
      </c>
      <c r="G110" s="11" t="n"/>
      <c r="H110" s="11" t="n"/>
    </row>
    <row r="111" ht="15.75" customHeight="1">
      <c r="A111" s="11" t="n"/>
      <c r="B111" s="94" t="inlineStr">
        <is>
          <t>20</t>
        </is>
      </c>
      <c r="C111" s="66" t="inlineStr">
        <is>
          <t>Насос 12НА-9х4</t>
        </is>
      </c>
      <c r="D111" s="64" t="n"/>
      <c r="E111" s="64" t="n">
        <v>24291</v>
      </c>
      <c r="F111" s="26">
        <f>E111*D111</f>
        <v/>
      </c>
      <c r="G111" s="11" t="n"/>
      <c r="H111" s="11" t="n"/>
    </row>
    <row r="112" hidden="1" ht="15.75" customHeight="1">
      <c r="A112" s="11" t="n"/>
      <c r="B112" s="94" t="inlineStr">
        <is>
          <t>21</t>
        </is>
      </c>
      <c r="C112" s="66" t="inlineStr">
        <is>
          <t>Насос 1АСВН-80АМ(С)/6</t>
        </is>
      </c>
      <c r="D112" s="64" t="n"/>
      <c r="E112" s="64" t="n">
        <v>45206</v>
      </c>
      <c r="F112" s="26">
        <f>E112*D112</f>
        <v/>
      </c>
      <c r="G112" s="11" t="n"/>
      <c r="H112" s="11" t="n"/>
    </row>
    <row r="113" hidden="1" ht="15.75" customHeight="1">
      <c r="A113" s="11" t="n"/>
      <c r="B113" s="94" t="inlineStr">
        <is>
          <t>22</t>
        </is>
      </c>
      <c r="C113" s="66" t="inlineStr">
        <is>
          <t>Насос 20А-18-1-11</t>
        </is>
      </c>
      <c r="D113" s="64" t="n"/>
      <c r="E113" s="64" t="n">
        <v>57607</v>
      </c>
      <c r="F113" s="26">
        <f>E113*D113</f>
        <v/>
      </c>
      <c r="G113" s="11" t="n"/>
      <c r="H113" s="11" t="n"/>
    </row>
    <row r="114" hidden="1" ht="15.75" customHeight="1">
      <c r="A114" s="11" t="n"/>
      <c r="B114" s="94" t="inlineStr">
        <is>
          <t>23</t>
        </is>
      </c>
      <c r="C114" s="66" t="inlineStr">
        <is>
          <t>Насос BUL 6,3/64</t>
        </is>
      </c>
      <c r="D114" s="64" t="n"/>
      <c r="E114" s="64" t="n">
        <v>27153</v>
      </c>
      <c r="F114" s="26">
        <f>E114*D114</f>
        <v/>
      </c>
      <c r="G114" s="11" t="n"/>
      <c r="H114" s="11" t="n"/>
    </row>
    <row r="115" hidden="1" ht="15.75" customHeight="1">
      <c r="A115" s="11" t="n"/>
      <c r="B115" s="94" t="inlineStr">
        <is>
          <t>24</t>
        </is>
      </c>
      <c r="C115" s="66" t="inlineStr">
        <is>
          <t>Насос CR15-02</t>
        </is>
      </c>
      <c r="D115" s="64" t="n"/>
      <c r="E115" s="64" t="n">
        <v>78861</v>
      </c>
      <c r="F115" s="26">
        <f>E115*D115</f>
        <v/>
      </c>
      <c r="G115" s="11" t="n"/>
      <c r="H115" s="11" t="n"/>
    </row>
    <row r="116" hidden="1" ht="15.75" customHeight="1">
      <c r="A116" s="11" t="n"/>
      <c r="B116" s="94" t="inlineStr">
        <is>
          <t>25</t>
        </is>
      </c>
      <c r="C116" s="66" t="inlineStr">
        <is>
          <t>Насос CRE20-01</t>
        </is>
      </c>
      <c r="D116" s="64" t="n"/>
      <c r="E116" s="64" t="n">
        <v>78861</v>
      </c>
      <c r="F116" s="26">
        <f>E116*D116</f>
        <v/>
      </c>
      <c r="G116" s="11" t="n"/>
      <c r="H116" s="11" t="n"/>
    </row>
    <row r="117" hidden="1" ht="15.75" customHeight="1">
      <c r="A117" s="11" t="n"/>
      <c r="B117" s="94" t="inlineStr">
        <is>
          <t>26</t>
        </is>
      </c>
      <c r="C117" s="66" t="inlineStr">
        <is>
          <t>Насос KRGH 40/315; KRGH 80/315, KRGH 200/500</t>
        </is>
      </c>
      <c r="D117" s="64" t="n"/>
      <c r="E117" s="64" t="n">
        <v>60464</v>
      </c>
      <c r="F117" s="26">
        <f>E117*D117</f>
        <v/>
      </c>
      <c r="G117" s="11" t="n"/>
      <c r="H117" s="11" t="n"/>
    </row>
    <row r="118" hidden="1" ht="15.75" customHeight="1">
      <c r="A118" s="11" t="n"/>
      <c r="B118" s="94" t="inlineStr">
        <is>
          <t>27</t>
        </is>
      </c>
      <c r="C118" s="66" t="inlineStr">
        <is>
          <t xml:space="preserve">Насос NF50BP </t>
        </is>
      </c>
      <c r="D118" s="64" t="n"/>
      <c r="E118" s="64" t="n">
        <v>51902</v>
      </c>
      <c r="F118" s="26">
        <f>E118*D118</f>
        <v/>
      </c>
      <c r="G118" s="11" t="n"/>
      <c r="H118" s="11" t="n"/>
    </row>
    <row r="119" hidden="1" ht="15.75" customHeight="1">
      <c r="A119" s="11" t="n"/>
      <c r="B119" s="94" t="inlineStr">
        <is>
          <t>28</t>
        </is>
      </c>
      <c r="C119" s="66" t="inlineStr">
        <is>
          <t>Насос NM038BT02S12B</t>
        </is>
      </c>
      <c r="D119" s="64" t="n"/>
      <c r="E119" s="64" t="n">
        <v>57607</v>
      </c>
      <c r="F119" s="26">
        <f>E119*D119</f>
        <v/>
      </c>
      <c r="G119" s="11" t="n"/>
      <c r="H119" s="11" t="n"/>
    </row>
    <row r="120" hidden="1" ht="15.75" customHeight="1">
      <c r="A120" s="11" t="n"/>
      <c r="B120" s="94" t="inlineStr">
        <is>
          <t>29</t>
        </is>
      </c>
      <c r="C120" s="66" t="inlineStr">
        <is>
          <t>Насос PIAX 32/28</t>
        </is>
      </c>
      <c r="D120" s="64" t="n"/>
      <c r="E120" s="64" t="n">
        <v>26754</v>
      </c>
      <c r="F120" s="26">
        <f>E120*D120</f>
        <v/>
      </c>
      <c r="G120" s="11" t="n"/>
      <c r="H120" s="11" t="n"/>
    </row>
    <row r="121" hidden="1" ht="15.75" customHeight="1">
      <c r="A121" s="11" t="n"/>
      <c r="B121" s="94" t="inlineStr">
        <is>
          <t>30</t>
        </is>
      </c>
      <c r="C121" s="66" t="inlineStr">
        <is>
          <t>Насос PKG100L50H17 2/9C5VV3Z</t>
        </is>
      </c>
      <c r="D121" s="64" t="n"/>
      <c r="E121" s="64" t="n">
        <v>56039</v>
      </c>
      <c r="F121" s="26">
        <f>E121*D121</f>
        <v/>
      </c>
      <c r="G121" s="11" t="n"/>
      <c r="H121" s="11" t="n"/>
    </row>
    <row r="122" hidden="1" ht="15.75" customHeight="1">
      <c r="A122" s="11" t="n"/>
      <c r="B122" s="94" t="inlineStr">
        <is>
          <t>31</t>
        </is>
      </c>
      <c r="C122" s="66" t="inlineStr">
        <is>
          <t>Насос SEG 40.12.2/1.502</t>
        </is>
      </c>
      <c r="D122" s="64" t="n"/>
      <c r="E122" s="64" t="n">
        <v>56039</v>
      </c>
      <c r="F122" s="26">
        <f>E122*D122</f>
        <v/>
      </c>
      <c r="G122" s="11" t="n"/>
      <c r="H122" s="11" t="n"/>
    </row>
    <row r="123" ht="15.75" customHeight="1">
      <c r="A123" s="11" t="n"/>
      <c r="B123" s="94" t="inlineStr">
        <is>
          <t>32</t>
        </is>
      </c>
      <c r="C123" s="66" t="inlineStr">
        <is>
          <t>Насос АХП 45/31, АХП 50-32-200…80-65-160</t>
        </is>
      </c>
      <c r="D123" s="64" t="n"/>
      <c r="E123" s="64" t="n">
        <v>47979</v>
      </c>
      <c r="F123" s="26">
        <f>E123*D123</f>
        <v/>
      </c>
      <c r="G123" s="11" t="n"/>
      <c r="H123" s="11" t="n"/>
    </row>
    <row r="124" ht="15.75" customHeight="1">
      <c r="A124" s="11" t="n"/>
      <c r="B124" s="94" t="inlineStr">
        <is>
          <t>33</t>
        </is>
      </c>
      <c r="C124" s="66" t="inlineStr">
        <is>
          <t>Насос ВКС 2/26</t>
        </is>
      </c>
      <c r="D124" s="64" t="n"/>
      <c r="E124" s="64" t="n">
        <v>11306</v>
      </c>
      <c r="F124" s="26">
        <f>E124*D124</f>
        <v/>
      </c>
      <c r="G124" s="11" t="n"/>
      <c r="H124" s="11" t="n"/>
    </row>
    <row r="125" ht="15.75" customHeight="1">
      <c r="A125" s="11" t="n"/>
      <c r="B125" s="94" t="inlineStr">
        <is>
          <t>34</t>
        </is>
      </c>
      <c r="C125" s="66" t="inlineStr">
        <is>
          <t>Насос ВНД 80/43; ВНД 50/350, ВНД 50/100, ВНД 6,3/12,5</t>
        </is>
      </c>
      <c r="D125" s="64" t="n"/>
      <c r="E125" s="64" t="n">
        <v>51407</v>
      </c>
      <c r="F125" s="26">
        <f>E125*D125</f>
        <v/>
      </c>
      <c r="G125" s="11" t="n"/>
      <c r="H125" s="11" t="n"/>
    </row>
    <row r="126" ht="15.75" customHeight="1">
      <c r="A126" s="11" t="n"/>
      <c r="B126" s="94" t="inlineStr">
        <is>
          <t>35</t>
        </is>
      </c>
      <c r="C126" s="66" t="inlineStr">
        <is>
          <t>Насос горизонтальный консольный типа К80-65-160…100-65-250</t>
        </is>
      </c>
      <c r="D126" s="64" t="n"/>
      <c r="E126" s="64" t="n">
        <v>17107</v>
      </c>
      <c r="F126" s="26">
        <f>E126*D126</f>
        <v/>
      </c>
      <c r="G126" s="11" t="n"/>
      <c r="H126" s="11" t="n"/>
    </row>
    <row r="127" hidden="1" ht="15.75" customHeight="1">
      <c r="A127" s="11" t="n"/>
      <c r="B127" s="94" t="inlineStr">
        <is>
          <t>36</t>
        </is>
      </c>
      <c r="C127" s="66" t="inlineStr">
        <is>
          <t>Насос ГХИ 6,3/32</t>
        </is>
      </c>
      <c r="D127" s="64" t="n"/>
      <c r="E127" s="64" t="n">
        <v>60387</v>
      </c>
      <c r="F127" s="26">
        <f>E127*D127</f>
        <v/>
      </c>
      <c r="G127" s="11" t="n"/>
      <c r="H127" s="11" t="n"/>
    </row>
    <row r="128" ht="15.75" customHeight="1">
      <c r="A128" s="11" t="n"/>
      <c r="B128" s="94" t="inlineStr">
        <is>
          <t>37</t>
        </is>
      </c>
      <c r="C128" s="66" t="inlineStr">
        <is>
          <t>Насос дозировочный типа ДП</t>
        </is>
      </c>
      <c r="D128" s="64" t="n"/>
      <c r="E128" s="64" t="n">
        <v>27528</v>
      </c>
      <c r="F128" s="26">
        <f>E128*D128</f>
        <v/>
      </c>
      <c r="G128" s="11" t="n"/>
      <c r="H128" s="11" t="n"/>
    </row>
    <row r="129" ht="15.75" customHeight="1">
      <c r="A129" s="11" t="n"/>
      <c r="B129" s="94" t="inlineStr">
        <is>
          <t>38</t>
        </is>
      </c>
      <c r="C129" s="50" t="inlineStr">
        <is>
          <t>Насос дозировочный типа НД 0,1…40/10...160</t>
        </is>
      </c>
      <c r="D129" s="64" t="n"/>
      <c r="E129" s="64" t="n">
        <v>27528</v>
      </c>
      <c r="F129" s="26">
        <f>E129*D129</f>
        <v/>
      </c>
      <c r="G129" s="11" t="n"/>
      <c r="H129" s="11" t="n"/>
    </row>
    <row r="130" hidden="1" ht="16.5" customHeight="1">
      <c r="A130" s="11" t="n"/>
      <c r="B130" s="94" t="inlineStr">
        <is>
          <t>39</t>
        </is>
      </c>
      <c r="C130" s="70" t="inlineStr">
        <is>
          <t>Насос дозировочный типа НДМ,НДХ (мембранные)</t>
        </is>
      </c>
      <c r="D130" s="64" t="n"/>
      <c r="E130" s="64" t="n">
        <v>35884</v>
      </c>
      <c r="F130" s="26">
        <f>E130*D130</f>
        <v/>
      </c>
      <c r="G130" s="11" t="n"/>
      <c r="H130" s="11" t="n"/>
    </row>
    <row r="131" hidden="1" ht="19.5" customHeight="1">
      <c r="A131" s="11" t="n"/>
      <c r="B131" s="94" t="inlineStr">
        <is>
          <t>40</t>
        </is>
      </c>
      <c r="C131" s="50" t="inlineStr">
        <is>
          <t>Насос дозировочный типа УН1Д-Р</t>
        </is>
      </c>
      <c r="D131" s="64" t="n"/>
      <c r="E131" s="64" t="n">
        <v>35884</v>
      </c>
      <c r="F131" s="26">
        <f>E131*D131</f>
        <v/>
      </c>
      <c r="G131" s="11" t="n"/>
      <c r="H131" s="11" t="n"/>
    </row>
    <row r="132" ht="13.5" customHeight="1">
      <c r="A132" s="11" t="n"/>
      <c r="B132" s="94" t="inlineStr">
        <is>
          <t>41</t>
        </is>
      </c>
      <c r="C132" s="70" t="inlineStr">
        <is>
          <t>Насос НВ-Мв-50/80; Насос НВ-Мв-Е-50/80; Насос НВ-Мт-50/80; Насос НВ-Мт-Е-50/80; НВД 50/80</t>
        </is>
      </c>
      <c r="D132" s="64" t="n"/>
      <c r="E132" s="64" t="n">
        <v>48080</v>
      </c>
      <c r="F132" s="26">
        <f>E132*D132</f>
        <v/>
      </c>
      <c r="G132" s="11" t="n"/>
      <c r="H132" s="11" t="n"/>
    </row>
    <row r="133" ht="15.75" customHeight="1">
      <c r="A133" s="11" t="n"/>
      <c r="B133" s="94" t="inlineStr">
        <is>
          <t>42</t>
        </is>
      </c>
      <c r="C133" s="70" t="inlineStr">
        <is>
          <t>Насос НВ-Мн-50/50; Насос НВ-Мн-Е-50/50; Насос НВ-Мт-50/50; Насос НВ-Мт-Е-50/50; НВД 50/50; Насос НВ-50/50; Насос НВ-Е-50/50</t>
        </is>
      </c>
      <c r="D133" s="64" t="n"/>
      <c r="E133" s="64" t="n">
        <v>48080</v>
      </c>
      <c r="F133" s="26">
        <f>E133*D133</f>
        <v/>
      </c>
      <c r="G133" s="11" t="n"/>
      <c r="H133" s="11" t="n"/>
    </row>
    <row r="134" ht="12.75" customHeight="1">
      <c r="A134" s="11" t="n"/>
      <c r="B134" s="94" t="inlineStr">
        <is>
          <t>43</t>
        </is>
      </c>
      <c r="C134" s="50" t="inlineStr">
        <is>
          <t xml:space="preserve">Насос НПВ 1250/60 </t>
        </is>
      </c>
      <c r="D134" s="94" t="n"/>
      <c r="E134" s="94" t="n">
        <v>451949</v>
      </c>
      <c r="F134" s="26">
        <f>E134*D134</f>
        <v/>
      </c>
      <c r="G134" s="11" t="n"/>
      <c r="H134" s="11" t="n"/>
    </row>
    <row r="135" hidden="1" ht="15.75" customHeight="1">
      <c r="A135" s="11" t="n"/>
      <c r="B135" s="94" t="inlineStr">
        <is>
          <t>44</t>
        </is>
      </c>
      <c r="C135" s="66" t="inlineStr">
        <is>
          <t>Насос НЦСГ-Е-5-100-П2,5; НЦСГ-Е-12,5-150 -П2,5; НЦСГ-Е-2-40-П</t>
        </is>
      </c>
      <c r="D135" s="64" t="n"/>
      <c r="E135" s="64" t="n">
        <v>156479</v>
      </c>
      <c r="F135" s="26">
        <f>E135*D135</f>
        <v/>
      </c>
      <c r="G135" s="11" t="n"/>
      <c r="H135" s="11" t="n"/>
    </row>
    <row r="136" hidden="1" ht="15.75" customHeight="1">
      <c r="A136" s="11" t="n"/>
      <c r="B136" s="94" t="inlineStr">
        <is>
          <t>45</t>
        </is>
      </c>
      <c r="C136" s="66" t="inlineStr">
        <is>
          <t>Насос СR 32-3-2</t>
        </is>
      </c>
      <c r="D136" s="64" t="n"/>
      <c r="E136" s="64" t="n">
        <v>44979</v>
      </c>
      <c r="F136" s="26">
        <f>E136*D136</f>
        <v/>
      </c>
      <c r="G136" s="11" t="n"/>
      <c r="H136" s="11" t="n"/>
    </row>
    <row r="137" hidden="1" ht="15.75" customHeight="1">
      <c r="A137" s="11" t="n"/>
      <c r="B137" s="94" t="inlineStr">
        <is>
          <t>46</t>
        </is>
      </c>
      <c r="C137" s="100" t="inlineStr">
        <is>
          <t>Насос типа ЦГ6,3/32-2,2-2; ЦГ 6,3/32-2,2-5; ЦГ 6,3/20-1,1-2; ЦГ 6,3/32-1,1-5</t>
        </is>
      </c>
      <c r="D137" s="64" t="n"/>
      <c r="E137" s="64" t="n">
        <v>41746</v>
      </c>
      <c r="F137" s="26">
        <f>E137*D137</f>
        <v/>
      </c>
      <c r="G137" s="11" t="n"/>
      <c r="H137" s="11" t="n"/>
    </row>
    <row r="138" hidden="1" ht="15.75" customHeight="1">
      <c r="A138" s="11" t="n"/>
      <c r="B138" s="94" t="inlineStr">
        <is>
          <t>47</t>
        </is>
      </c>
      <c r="C138" s="66" t="inlineStr">
        <is>
          <t>Насос ТР 100-820/2</t>
        </is>
      </c>
      <c r="D138" s="64" t="n"/>
      <c r="E138" s="64" t="n">
        <v>41746</v>
      </c>
      <c r="F138" s="26">
        <f>E138*D138</f>
        <v/>
      </c>
      <c r="G138" s="11" t="n"/>
      <c r="H138" s="11" t="n"/>
    </row>
    <row r="139" hidden="1" ht="15.75" customHeight="1">
      <c r="A139" s="11" t="n"/>
      <c r="B139" s="94" t="inlineStr">
        <is>
          <t>48</t>
        </is>
      </c>
      <c r="C139" s="66" t="inlineStr">
        <is>
          <t>Насос ХПЕ 80-50-200</t>
        </is>
      </c>
      <c r="D139" s="45" t="n"/>
      <c r="E139" s="64" t="n">
        <v>41746</v>
      </c>
      <c r="F139" s="26">
        <f>E139*D139</f>
        <v/>
      </c>
      <c r="G139" s="11" t="n"/>
      <c r="H139" s="11" t="n"/>
    </row>
    <row r="140" ht="15.75" customHeight="1">
      <c r="A140" s="11" t="n"/>
      <c r="B140" s="94" t="inlineStr">
        <is>
          <t>49</t>
        </is>
      </c>
      <c r="C140" s="100" t="inlineStr">
        <is>
          <t>Насос ЦНС 105/98…490</t>
        </is>
      </c>
      <c r="D140" s="64" t="n"/>
      <c r="E140" s="64" t="n">
        <v>125967</v>
      </c>
      <c r="F140" s="26">
        <f>E140*D140</f>
        <v/>
      </c>
      <c r="G140" s="11" t="n"/>
      <c r="H140" s="11" t="n"/>
    </row>
    <row r="141" ht="15.75" customHeight="1">
      <c r="A141" s="11" t="n"/>
      <c r="B141" s="94" t="inlineStr">
        <is>
          <t>50</t>
        </is>
      </c>
      <c r="C141" s="66" t="inlineStr">
        <is>
          <t>Насос ЦНС 105/98…490 с торцевым уплотнением</t>
        </is>
      </c>
      <c r="D141" s="64" t="n">
        <v>1</v>
      </c>
      <c r="E141" s="64" t="n">
        <v>125967</v>
      </c>
      <c r="F141" s="26">
        <f>E141*D141</f>
        <v/>
      </c>
      <c r="G141" s="11" t="n"/>
      <c r="H141" s="11" t="n"/>
    </row>
    <row r="142" ht="15.75" customHeight="1">
      <c r="A142" s="11" t="n"/>
      <c r="B142" s="94" t="inlineStr">
        <is>
          <t>51</t>
        </is>
      </c>
      <c r="C142" s="68" t="inlineStr">
        <is>
          <t>Насос ЦНС 100...180/870…2050</t>
        </is>
      </c>
      <c r="D142" s="64" t="n">
        <v>2</v>
      </c>
      <c r="E142" s="64" t="n">
        <v>396278</v>
      </c>
      <c r="F142" s="26">
        <f>E142*D142</f>
        <v/>
      </c>
      <c r="G142" s="11" t="n"/>
      <c r="H142" s="11" t="n"/>
    </row>
    <row r="143" ht="15.75" customHeight="1">
      <c r="A143" s="11" t="n"/>
      <c r="B143" s="94" t="inlineStr">
        <is>
          <t>52</t>
        </is>
      </c>
      <c r="C143" s="66" t="inlineStr">
        <is>
          <t>Насос ЦНС 180/85…425</t>
        </is>
      </c>
      <c r="D143" s="64" t="n"/>
      <c r="E143" s="64" t="n">
        <v>154105</v>
      </c>
      <c r="F143" s="26">
        <f>E143*D143</f>
        <v/>
      </c>
      <c r="G143" s="11" t="n"/>
      <c r="H143" s="11" t="n"/>
    </row>
    <row r="144" ht="15.75" customHeight="1">
      <c r="A144" s="11" t="n"/>
      <c r="B144" s="94" t="inlineStr">
        <is>
          <t>53</t>
        </is>
      </c>
      <c r="C144" s="100" t="inlineStr">
        <is>
          <t>Насос ЦНС 180/85…425 с торцевым уплотнением</t>
        </is>
      </c>
      <c r="D144" s="64" t="n"/>
      <c r="E144" s="64" t="n">
        <v>154105</v>
      </c>
      <c r="F144" s="26">
        <f>E144*D144</f>
        <v/>
      </c>
      <c r="G144" s="11" t="n"/>
      <c r="H144" s="11" t="n"/>
    </row>
    <row r="145" ht="15" customHeight="1">
      <c r="A145" s="11" t="n"/>
      <c r="B145" s="94" t="inlineStr">
        <is>
          <t>54</t>
        </is>
      </c>
      <c r="C145" s="66" t="inlineStr">
        <is>
          <t xml:space="preserve">Насос ЦНС 225...280/870...1900 </t>
        </is>
      </c>
      <c r="D145" s="64" t="n">
        <v>4</v>
      </c>
      <c r="E145" s="64" t="n">
        <v>396278</v>
      </c>
      <c r="F145" s="26">
        <f>E145*D145</f>
        <v/>
      </c>
      <c r="G145" s="11" t="n"/>
      <c r="H145" s="11" t="n"/>
    </row>
    <row r="146" ht="15.75" customHeight="1">
      <c r="A146" s="11" t="n"/>
      <c r="B146" s="94" t="inlineStr">
        <is>
          <t>55</t>
        </is>
      </c>
      <c r="C146" s="66" t="inlineStr">
        <is>
          <t>Насос ЦНС 300/120…300</t>
        </is>
      </c>
      <c r="D146" s="64" t="n"/>
      <c r="E146" s="64" t="n">
        <v>167203</v>
      </c>
      <c r="F146" s="26">
        <f>E146*D146</f>
        <v/>
      </c>
      <c r="G146" s="11" t="n"/>
      <c r="H146" s="11" t="n"/>
    </row>
    <row r="147" ht="27.75" customHeight="1">
      <c r="A147" s="11" t="n"/>
      <c r="B147" s="94" t="inlineStr">
        <is>
          <t>56</t>
        </is>
      </c>
      <c r="C147" s="66" t="inlineStr">
        <is>
          <t>Насос ЦНС 300/120…300 с торцевым уплотнением</t>
        </is>
      </c>
      <c r="D147" s="64" t="n"/>
      <c r="E147" s="64" t="n">
        <v>167203</v>
      </c>
      <c r="F147" s="26">
        <f>E147*D147</f>
        <v/>
      </c>
      <c r="G147" s="11" t="n"/>
      <c r="H147" s="11" t="n"/>
    </row>
    <row r="148" ht="15.75" customHeight="1">
      <c r="A148" s="11" t="n"/>
      <c r="B148" s="94" t="inlineStr">
        <is>
          <t>57</t>
        </is>
      </c>
      <c r="C148" s="66" t="inlineStr">
        <is>
          <t>Насос ЦНС 300/360…660</t>
        </is>
      </c>
      <c r="D148" s="64" t="n"/>
      <c r="E148" s="64" t="n">
        <v>167203</v>
      </c>
      <c r="F148" s="26">
        <f>E148*D148</f>
        <v/>
      </c>
      <c r="G148" s="11" t="n"/>
      <c r="H148" s="11" t="n"/>
    </row>
    <row r="149" ht="28.5" customHeight="1">
      <c r="A149" s="11" t="n"/>
      <c r="B149" s="94" t="inlineStr">
        <is>
          <t>58</t>
        </is>
      </c>
      <c r="C149" s="100" t="inlineStr">
        <is>
          <t>Насос ЦНС 300/360…660 с торцевым уплотнением</t>
        </is>
      </c>
      <c r="D149" s="64" t="n">
        <v>4</v>
      </c>
      <c r="E149" s="64" t="n">
        <v>167203</v>
      </c>
      <c r="F149" s="26">
        <f>E149*D149</f>
        <v/>
      </c>
      <c r="G149" s="11" t="n"/>
      <c r="H149" s="11" t="n"/>
    </row>
    <row r="150" ht="15.75" customHeight="1">
      <c r="A150" s="11" t="n"/>
      <c r="B150" s="94" t="inlineStr">
        <is>
          <t>59</t>
        </is>
      </c>
      <c r="C150" s="100" t="inlineStr">
        <is>
          <t>Насос ЦНС 310-1510</t>
        </is>
      </c>
      <c r="D150" s="64" t="n"/>
      <c r="E150" s="64" t="n">
        <v>396278</v>
      </c>
      <c r="F150" s="26">
        <f>E150*D150</f>
        <v/>
      </c>
      <c r="G150" s="11" t="n"/>
      <c r="H150" s="11" t="n"/>
    </row>
    <row r="151" ht="15.75" customHeight="1">
      <c r="A151" s="11" t="n"/>
      <c r="B151" s="94" t="inlineStr">
        <is>
          <t>60</t>
        </is>
      </c>
      <c r="C151" s="100" t="inlineStr">
        <is>
          <t>Насос ЦНС 320-1350</t>
        </is>
      </c>
      <c r="D151" s="64" t="n"/>
      <c r="E151" s="64" t="n">
        <v>396278</v>
      </c>
      <c r="F151" s="26">
        <f>E151*D151</f>
        <v/>
      </c>
      <c r="G151" s="11" t="n"/>
      <c r="H151" s="11" t="n"/>
    </row>
    <row r="152" ht="15.75" customHeight="1">
      <c r="A152" s="11" t="n"/>
      <c r="B152" s="94" t="inlineStr">
        <is>
          <t>61</t>
        </is>
      </c>
      <c r="C152" s="100" t="inlineStr">
        <is>
          <t>Насос ЦНС 350-1650</t>
        </is>
      </c>
      <c r="D152" s="64" t="n"/>
      <c r="E152" s="64" t="n">
        <v>396278</v>
      </c>
      <c r="F152" s="26">
        <f>E152*D152</f>
        <v/>
      </c>
      <c r="G152" s="11" t="n"/>
      <c r="H152" s="11" t="n"/>
    </row>
    <row r="153" ht="15.75" customHeight="1">
      <c r="A153" s="11" t="n"/>
      <c r="B153" s="94" t="inlineStr">
        <is>
          <t>62</t>
        </is>
      </c>
      <c r="C153" s="100" t="inlineStr">
        <is>
          <t>Насос ЦНС 40/1400</t>
        </is>
      </c>
      <c r="D153" s="64" t="n"/>
      <c r="E153" s="64" t="n">
        <v>396278</v>
      </c>
      <c r="F153" s="26">
        <f>E153*D153</f>
        <v/>
      </c>
      <c r="G153" s="11" t="n"/>
      <c r="H153" s="11" t="n"/>
    </row>
    <row r="154" ht="15.75" customHeight="1">
      <c r="A154" s="11" t="n"/>
      <c r="B154" s="94" t="inlineStr">
        <is>
          <t>63</t>
        </is>
      </c>
      <c r="C154" s="66" t="inlineStr">
        <is>
          <t>Насос ЦНС-13/70…350</t>
        </is>
      </c>
      <c r="D154" s="64" t="n"/>
      <c r="E154" s="64" t="n">
        <v>113781</v>
      </c>
      <c r="F154" s="26">
        <f>E154*D154</f>
        <v/>
      </c>
      <c r="G154" s="11" t="n"/>
      <c r="H154" s="11" t="n"/>
    </row>
    <row r="155" ht="15.75" customHeight="1">
      <c r="A155" s="11" t="n"/>
      <c r="B155" s="94" t="inlineStr">
        <is>
          <t>64</t>
        </is>
      </c>
      <c r="C155" s="66" t="inlineStr">
        <is>
          <t>Насос ЦНС-13/70…350 с торцевым уплотнением</t>
        </is>
      </c>
      <c r="D155" s="64" t="n"/>
      <c r="E155" s="64" t="n">
        <v>113781</v>
      </c>
      <c r="F155" s="26">
        <f>E155*D155</f>
        <v/>
      </c>
      <c r="G155" s="11" t="n"/>
      <c r="H155" s="11" t="n"/>
    </row>
    <row r="156" ht="15.75" customHeight="1">
      <c r="A156" s="11" t="n"/>
      <c r="B156" s="94" t="inlineStr">
        <is>
          <t>65</t>
        </is>
      </c>
      <c r="C156" s="66" t="inlineStr">
        <is>
          <t>Насос ЦНС-38/44…220</t>
        </is>
      </c>
      <c r="D156" s="64" t="n"/>
      <c r="E156" s="64" t="n">
        <v>113781</v>
      </c>
      <c r="F156" s="26">
        <f>E156*D156</f>
        <v/>
      </c>
      <c r="G156" s="11" t="n"/>
      <c r="H156" s="11" t="n"/>
    </row>
    <row r="157" ht="18" customHeight="1">
      <c r="A157" s="11" t="n"/>
      <c r="B157" s="94" t="inlineStr">
        <is>
          <t>66</t>
        </is>
      </c>
      <c r="C157" s="66" t="inlineStr">
        <is>
          <t>Насос ЦНС-38/44…220 с торцевым уплотнением</t>
        </is>
      </c>
      <c r="D157" s="64" t="n"/>
      <c r="E157" s="64" t="n">
        <v>113781</v>
      </c>
      <c r="F157" s="26">
        <f>E157*D157</f>
        <v/>
      </c>
      <c r="G157" s="11" t="n"/>
      <c r="H157" s="11" t="n"/>
    </row>
    <row r="158" ht="15.75" customHeight="1">
      <c r="A158" s="11" t="n"/>
      <c r="B158" s="94" t="inlineStr">
        <is>
          <t>67</t>
        </is>
      </c>
      <c r="C158" s="66" t="inlineStr">
        <is>
          <t>Насос ЦНС-60/66…330</t>
        </is>
      </c>
      <c r="D158" s="64" t="n"/>
      <c r="E158" s="64" t="n">
        <v>113781</v>
      </c>
      <c r="F158" s="26">
        <f>E158*D158</f>
        <v/>
      </c>
      <c r="G158" s="11" t="n"/>
      <c r="H158" s="11" t="n"/>
    </row>
    <row r="159" ht="15.75" customHeight="1">
      <c r="A159" s="11" t="n"/>
      <c r="B159" s="94" t="inlineStr">
        <is>
          <t>68</t>
        </is>
      </c>
      <c r="C159" s="66" t="inlineStr">
        <is>
          <t>Насос ЦНС-60/66…330 с торцевым уплотнением</t>
        </is>
      </c>
      <c r="D159" s="64" t="n"/>
      <c r="E159" s="64" t="n">
        <v>113781</v>
      </c>
      <c r="F159" s="26">
        <f>E159*D159</f>
        <v/>
      </c>
      <c r="G159" s="11" t="n"/>
      <c r="H159" s="11" t="n"/>
    </row>
    <row r="160" ht="15.75" customHeight="1">
      <c r="A160" s="11" t="n"/>
      <c r="B160" s="94" t="inlineStr">
        <is>
          <t>69</t>
        </is>
      </c>
      <c r="C160" s="66" t="inlineStr">
        <is>
          <t xml:space="preserve">Насос ЦНС-63/1000...1900 </t>
        </is>
      </c>
      <c r="D160" s="64" t="n"/>
      <c r="E160" s="64" t="n">
        <v>396278</v>
      </c>
      <c r="F160" s="26">
        <f>E160*D160</f>
        <v/>
      </c>
      <c r="G160" s="11" t="n"/>
      <c r="H160" s="11" t="n"/>
    </row>
    <row r="161" ht="15.75" customHeight="1">
      <c r="A161" s="11" t="n"/>
      <c r="B161" s="94" t="inlineStr">
        <is>
          <t>70</t>
        </is>
      </c>
      <c r="C161" s="66" t="inlineStr">
        <is>
          <t xml:space="preserve">Насос ЦНС-90/1100...1900 </t>
        </is>
      </c>
      <c r="D161" s="64" t="n"/>
      <c r="E161" s="64" t="n">
        <v>396278</v>
      </c>
      <c r="F161" s="26">
        <f>E161*D161</f>
        <v/>
      </c>
      <c r="G161" s="11" t="n"/>
      <c r="H161" s="11" t="n"/>
    </row>
    <row r="162" ht="15.75" customHeight="1">
      <c r="A162" s="11" t="n"/>
      <c r="B162" s="94" t="inlineStr">
        <is>
          <t>71</t>
        </is>
      </c>
      <c r="C162" s="66" t="inlineStr">
        <is>
          <t>Насос шестеренный типа НМШ5-25-4,0/4; НМШ5-25-4,0/10; НМШ5-25-4,0/25; НМШ8-25-6,3/2,5; НМШ8-25-6,3/10; НМШ8-25-6,3/25, НШ 5/25</t>
        </is>
      </c>
      <c r="D162" s="64" t="n"/>
      <c r="E162" s="64" t="n">
        <v>15936</v>
      </c>
      <c r="F162" s="26">
        <f>E162*D162</f>
        <v/>
      </c>
      <c r="G162" s="11" t="n"/>
      <c r="H162" s="11" t="n"/>
    </row>
    <row r="163" hidden="1" ht="15.75" customHeight="1">
      <c r="A163" s="11" t="n"/>
      <c r="B163" s="94" t="inlineStr">
        <is>
          <t>72</t>
        </is>
      </c>
      <c r="C163" s="66" t="inlineStr">
        <is>
          <t>Поршневой компрессор К2</t>
        </is>
      </c>
      <c r="D163" s="64" t="n"/>
      <c r="E163" s="64" t="n">
        <v>42661</v>
      </c>
      <c r="F163" s="26">
        <f>E163*D163</f>
        <v/>
      </c>
      <c r="G163" s="11" t="n"/>
      <c r="H163" s="11" t="n"/>
    </row>
    <row r="164" ht="15" customHeight="1">
      <c r="A164" s="11" t="n"/>
      <c r="B164" s="100" t="inlineStr">
        <is>
          <t>ИТОГО:</t>
        </is>
      </c>
      <c r="C164" s="101" t="n"/>
      <c r="D164" s="63" t="n"/>
      <c r="E164" s="63" t="n"/>
      <c r="F164" s="63">
        <f>SUM(F92:F163)</f>
        <v/>
      </c>
      <c r="G164" s="11" t="n"/>
      <c r="H164" s="11" t="n"/>
    </row>
    <row r="165" ht="14.25" customHeight="1">
      <c r="A165" s="11" t="n"/>
      <c r="B165" s="90" t="inlineStr">
        <is>
          <t>ДЕМОНТАЖ</t>
        </is>
      </c>
      <c r="D165" s="63" t="n"/>
      <c r="E165" s="63" t="n"/>
      <c r="F165" s="26" t="n"/>
      <c r="G165" s="63" t="n"/>
      <c r="H165" s="11" t="n"/>
    </row>
    <row r="166" hidden="1" ht="15.75" customHeight="1">
      <c r="A166" s="11" t="n"/>
      <c r="B166" s="94" t="inlineStr">
        <is>
          <t>1</t>
        </is>
      </c>
      <c r="C166" s="66" t="inlineStr">
        <is>
          <t>Агрегат турбокомпрессорный ТКА-Ц-12/0,4-6,1М1 без двигателя</t>
        </is>
      </c>
      <c r="D166" s="63" t="n"/>
      <c r="E166" s="63" t="n">
        <v>609275</v>
      </c>
      <c r="F166" s="26">
        <f>E166*D166</f>
        <v/>
      </c>
      <c r="G166" s="63" t="n"/>
      <c r="H166" s="11" t="n"/>
    </row>
    <row r="167" hidden="1" ht="15.75" customHeight="1">
      <c r="A167" s="11" t="n"/>
      <c r="B167" s="63" t="inlineStr">
        <is>
          <t>2</t>
        </is>
      </c>
      <c r="C167" s="66" t="inlineStr">
        <is>
          <t>БНСП 1400-900</t>
        </is>
      </c>
      <c r="D167" s="64" t="n"/>
      <c r="E167" s="64" t="n">
        <v>102205</v>
      </c>
      <c r="F167" s="26">
        <f>E167*D167</f>
        <v/>
      </c>
      <c r="G167" s="63" t="n"/>
      <c r="H167" s="11" t="n"/>
    </row>
    <row r="168" hidden="1" ht="15.75" customHeight="1">
      <c r="A168" s="11" t="n"/>
      <c r="B168" s="94" t="inlineStr">
        <is>
          <t>3</t>
        </is>
      </c>
      <c r="C168" s="66" t="inlineStr">
        <is>
          <t>ГНС 700</t>
        </is>
      </c>
      <c r="D168" s="64" t="n"/>
      <c r="E168" s="64" t="n">
        <v>102205</v>
      </c>
      <c r="F168" s="26">
        <f>E168*D168</f>
        <v/>
      </c>
      <c r="G168" s="63" t="n"/>
      <c r="H168" s="11" t="n"/>
    </row>
    <row r="169" hidden="1" ht="15.75" customHeight="1">
      <c r="A169" s="11" t="n"/>
      <c r="B169" s="63" t="inlineStr">
        <is>
          <t>4</t>
        </is>
      </c>
      <c r="C169" s="100" t="inlineStr">
        <is>
          <t>ГНС S 100 N</t>
        </is>
      </c>
      <c r="D169" s="64" t="n"/>
      <c r="E169" s="64" t="n">
        <v>102205</v>
      </c>
      <c r="F169" s="26">
        <f>E169*D169</f>
        <v/>
      </c>
      <c r="G169" s="63" t="n"/>
      <c r="H169" s="11" t="n"/>
    </row>
    <row r="170" hidden="1" ht="15.75" customHeight="1">
      <c r="A170" s="11" t="n"/>
      <c r="B170" s="94" t="inlineStr">
        <is>
          <t>5</t>
        </is>
      </c>
      <c r="C170" s="66" t="inlineStr">
        <is>
          <t>ГНС S 175 N</t>
        </is>
      </c>
      <c r="D170" s="64" t="n"/>
      <c r="E170" s="64" t="n">
        <v>102205</v>
      </c>
      <c r="F170" s="26">
        <f>E170*D170</f>
        <v/>
      </c>
      <c r="G170" s="63" t="n"/>
      <c r="H170" s="11" t="n"/>
    </row>
    <row r="171" hidden="1" ht="15.75" customHeight="1">
      <c r="A171" s="11" t="n"/>
      <c r="B171" s="63" t="inlineStr">
        <is>
          <t>6</t>
        </is>
      </c>
      <c r="C171" s="66" t="inlineStr">
        <is>
          <t>ГНУ 3000/1900</t>
        </is>
      </c>
      <c r="D171" s="64" t="n"/>
      <c r="E171" s="26" t="n">
        <v>102205</v>
      </c>
      <c r="F171" s="26">
        <f>E171*D171</f>
        <v/>
      </c>
      <c r="G171" s="63" t="n"/>
      <c r="H171" s="11" t="n"/>
    </row>
    <row r="172" hidden="1" ht="15.75" customHeight="1">
      <c r="A172" s="11" t="n"/>
      <c r="B172" s="94" t="inlineStr">
        <is>
          <t>7</t>
        </is>
      </c>
      <c r="C172" s="66" t="inlineStr">
        <is>
          <t>Насос плунжерный КАМАТ тип К</t>
        </is>
      </c>
      <c r="D172" s="64" t="n"/>
      <c r="E172" s="26" t="n">
        <v>60943</v>
      </c>
      <c r="F172" s="26">
        <f>E172*D172</f>
        <v/>
      </c>
      <c r="G172" s="63" t="n"/>
      <c r="H172" s="11" t="n"/>
    </row>
    <row r="173" hidden="1" ht="15.75" customHeight="1">
      <c r="A173" s="11" t="n"/>
      <c r="B173" s="63" t="inlineStr">
        <is>
          <t>8</t>
        </is>
      </c>
      <c r="C173" s="66" t="inlineStr">
        <is>
          <t>Компрессор 2НВ2КТ/126/330</t>
        </is>
      </c>
      <c r="D173" s="64" t="n"/>
      <c r="E173" s="26" t="n">
        <v>49819</v>
      </c>
      <c r="F173" s="26">
        <f>E173*D173</f>
        <v/>
      </c>
      <c r="G173" s="63" t="n"/>
      <c r="H173" s="11" t="n"/>
    </row>
    <row r="174" hidden="1" ht="15.75" customHeight="1">
      <c r="A174" s="11" t="n"/>
      <c r="B174" s="94" t="inlineStr">
        <is>
          <t>9</t>
        </is>
      </c>
      <c r="C174" s="66" t="inlineStr">
        <is>
          <t>Компрессор 4ВУ1-5/9</t>
        </is>
      </c>
      <c r="D174" s="64" t="n"/>
      <c r="E174" s="26" t="n">
        <v>24151</v>
      </c>
      <c r="F174" s="26">
        <f>E174*D174</f>
        <v/>
      </c>
      <c r="G174" s="63" t="n"/>
      <c r="H174" s="11" t="n"/>
    </row>
    <row r="175" hidden="1" ht="15.75" customHeight="1">
      <c r="A175" s="11" t="n"/>
      <c r="B175" s="63" t="inlineStr">
        <is>
          <t>10</t>
        </is>
      </c>
      <c r="C175" s="66" t="inlineStr">
        <is>
          <t>Компрессор A2YI-52-16-8, К-10А2У1-52-16</t>
        </is>
      </c>
      <c r="D175" s="64" t="n"/>
      <c r="E175" s="26" t="n">
        <v>14653</v>
      </c>
      <c r="F175" s="26">
        <f>E175*D175</f>
        <v/>
      </c>
      <c r="G175" s="63" t="n"/>
      <c r="H175" s="11" t="n"/>
    </row>
    <row r="176" hidden="1" ht="15.75" customHeight="1">
      <c r="A176" s="11" t="n"/>
      <c r="B176" s="94" t="inlineStr">
        <is>
          <t>11</t>
        </is>
      </c>
      <c r="C176" s="66" t="inlineStr">
        <is>
          <t>Компрессор воздушный Atlas Copco ZT90VSD</t>
        </is>
      </c>
      <c r="D176" s="64" t="n"/>
      <c r="E176" s="26" t="n">
        <v>42300</v>
      </c>
      <c r="F176" s="26">
        <f>E176*D176</f>
        <v/>
      </c>
      <c r="G176" s="63" t="n"/>
      <c r="H176" s="11" t="n"/>
    </row>
    <row r="177" hidden="1" ht="15.75" customHeight="1">
      <c r="A177" s="11" t="n"/>
      <c r="B177" s="63" t="inlineStr">
        <is>
          <t>12</t>
        </is>
      </c>
      <c r="C177" s="66" t="inlineStr">
        <is>
          <t>Компрессор ТАКАТ 11.05;  Борец 1С2ГП;  EGSI-S-150/200 WA</t>
        </is>
      </c>
      <c r="D177" s="64" t="n"/>
      <c r="E177" s="26" t="n">
        <v>49986</v>
      </c>
      <c r="F177" s="26">
        <f>E177*D177</f>
        <v/>
      </c>
      <c r="G177" s="63" t="n"/>
      <c r="H177" s="11" t="n"/>
    </row>
    <row r="178" ht="15.75" customHeight="1">
      <c r="A178" s="11" t="n"/>
      <c r="B178" s="94" t="inlineStr">
        <is>
          <t>13</t>
        </is>
      </c>
      <c r="C178" s="66" t="inlineStr">
        <is>
          <t>Насос Д160-112Б</t>
        </is>
      </c>
      <c r="D178" s="64" t="n"/>
      <c r="E178" s="26" t="n">
        <v>16512</v>
      </c>
      <c r="F178" s="26">
        <f>E178*D178</f>
        <v/>
      </c>
      <c r="G178" s="63" t="n"/>
      <c r="H178" s="11" t="n"/>
    </row>
    <row r="179" ht="15.75" customHeight="1">
      <c r="A179" s="11" t="n"/>
      <c r="B179" s="63" t="inlineStr">
        <is>
          <t>14</t>
        </is>
      </c>
      <c r="C179" s="66" t="inlineStr">
        <is>
          <t>Насос 1 Д200-90</t>
        </is>
      </c>
      <c r="D179" s="64" t="n">
        <v>2</v>
      </c>
      <c r="E179" s="26" t="n">
        <v>16512</v>
      </c>
      <c r="F179" s="26">
        <f>E179*D179</f>
        <v/>
      </c>
      <c r="G179" s="63" t="n"/>
      <c r="H179" s="11" t="n"/>
    </row>
    <row r="180" ht="15.75" customHeight="1">
      <c r="A180" s="11" t="n"/>
      <c r="B180" s="94" t="inlineStr">
        <is>
          <t>15</t>
        </is>
      </c>
      <c r="C180" s="66" t="inlineStr">
        <is>
          <t>Насос 1 Д250-125</t>
        </is>
      </c>
      <c r="D180" s="64" t="n"/>
      <c r="E180" s="26" t="n">
        <v>16512</v>
      </c>
      <c r="F180" s="26">
        <f>E180*D180</f>
        <v/>
      </c>
      <c r="G180" s="63" t="n"/>
      <c r="H180" s="11" t="n"/>
    </row>
    <row r="181" ht="15.75" customHeight="1">
      <c r="A181" s="11" t="n"/>
      <c r="B181" s="63" t="inlineStr">
        <is>
          <t>16</t>
        </is>
      </c>
      <c r="C181" s="66" t="inlineStr">
        <is>
          <t>Насос 1 Д315-50...71</t>
        </is>
      </c>
      <c r="D181" s="64" t="n"/>
      <c r="E181" s="26" t="n">
        <v>16512</v>
      </c>
      <c r="F181" s="26">
        <f>E181*D181</f>
        <v/>
      </c>
      <c r="G181" s="63" t="n"/>
      <c r="H181" s="11" t="n"/>
    </row>
    <row r="182" ht="18.75" customHeight="1">
      <c r="A182" s="11" t="n"/>
      <c r="B182" s="94" t="inlineStr">
        <is>
          <t>17</t>
        </is>
      </c>
      <c r="C182" s="66" t="inlineStr">
        <is>
          <t>Насос 1 Д500-63</t>
        </is>
      </c>
      <c r="D182" s="64" t="n"/>
      <c r="E182" s="26" t="n">
        <v>16512</v>
      </c>
      <c r="F182" s="26">
        <f>E182*D182</f>
        <v/>
      </c>
      <c r="G182" s="63" t="n"/>
      <c r="H182" s="11" t="n"/>
    </row>
    <row r="183" ht="17.25" customHeight="1">
      <c r="A183" s="11" t="n"/>
      <c r="B183" s="63" t="inlineStr">
        <is>
          <t>18</t>
        </is>
      </c>
      <c r="C183" s="52" t="inlineStr">
        <is>
          <t>Насос 1 Д630-90...125</t>
        </is>
      </c>
      <c r="D183" s="45" t="n"/>
      <c r="E183" s="18" t="n">
        <v>20354</v>
      </c>
      <c r="F183" s="18">
        <f>E183*D183</f>
        <v/>
      </c>
      <c r="G183" s="63" t="n"/>
      <c r="H183" s="11" t="n"/>
    </row>
    <row r="184" ht="12.75" customHeight="1">
      <c r="A184" s="11" t="n"/>
      <c r="B184" s="94" t="inlineStr">
        <is>
          <t>19</t>
        </is>
      </c>
      <c r="C184" s="52" t="inlineStr">
        <is>
          <t>Насос 1 Д1250-63…125</t>
        </is>
      </c>
      <c r="D184" s="45" t="n"/>
      <c r="E184" s="18" t="n">
        <v>31095</v>
      </c>
      <c r="F184" s="18">
        <f>E184*D184</f>
        <v/>
      </c>
      <c r="G184" s="63" t="n"/>
      <c r="H184" s="11" t="n"/>
    </row>
    <row r="185" ht="15.75" customHeight="1">
      <c r="A185" s="11" t="n"/>
      <c r="B185" s="63" t="inlineStr">
        <is>
          <t>20</t>
        </is>
      </c>
      <c r="C185" s="52" t="inlineStr">
        <is>
          <t>Насос 12НА-9х4</t>
        </is>
      </c>
      <c r="D185" s="45" t="n"/>
      <c r="E185" s="18" t="n">
        <v>18854</v>
      </c>
      <c r="F185" s="18">
        <f>E185*D185</f>
        <v/>
      </c>
      <c r="G185" s="63" t="n"/>
      <c r="H185" s="11" t="n"/>
    </row>
    <row r="186" hidden="1" ht="15.75" customHeight="1">
      <c r="A186" s="11" t="n"/>
      <c r="B186" s="94" t="inlineStr">
        <is>
          <t>21</t>
        </is>
      </c>
      <c r="C186" s="52" t="inlineStr">
        <is>
          <t>Насос 1АСВН-80АМ(С)/6</t>
        </is>
      </c>
      <c r="D186" s="45" t="n"/>
      <c r="E186" s="18" t="n">
        <v>24796</v>
      </c>
      <c r="F186" s="18">
        <f>E186*D186</f>
        <v/>
      </c>
      <c r="G186" s="63" t="n"/>
      <c r="H186" s="11" t="n"/>
    </row>
    <row r="187" ht="15.75" customHeight="1">
      <c r="A187" s="11" t="n"/>
      <c r="B187" s="63" t="inlineStr">
        <is>
          <t>22</t>
        </is>
      </c>
      <c r="C187" s="52" t="inlineStr">
        <is>
          <t>Насос 20А-18-1-11</t>
        </is>
      </c>
      <c r="D187" s="45" t="n"/>
      <c r="E187" s="18" t="n">
        <v>54705</v>
      </c>
      <c r="F187" s="18">
        <f>E187*D187</f>
        <v/>
      </c>
      <c r="G187" s="63" t="n"/>
      <c r="H187" s="11" t="n"/>
    </row>
    <row r="188" hidden="1" ht="15.75" customHeight="1">
      <c r="A188" s="11" t="n"/>
      <c r="B188" s="94" t="inlineStr">
        <is>
          <t>23</t>
        </is>
      </c>
      <c r="C188" s="52" t="inlineStr">
        <is>
          <t>Насос BUL 6,3/64</t>
        </is>
      </c>
      <c r="D188" s="45" t="n"/>
      <c r="E188" s="18" t="n">
        <v>356</v>
      </c>
      <c r="F188" s="18">
        <f>E188*D188</f>
        <v/>
      </c>
      <c r="G188" s="63" t="n"/>
      <c r="H188" s="11" t="n"/>
    </row>
    <row r="189" hidden="1" ht="15.75" customHeight="1">
      <c r="A189" s="11" t="n"/>
      <c r="B189" s="63" t="inlineStr">
        <is>
          <t>24</t>
        </is>
      </c>
      <c r="C189" s="52" t="inlineStr">
        <is>
          <t>Насос CR15-02</t>
        </is>
      </c>
      <c r="D189" s="45" t="n"/>
      <c r="E189" s="18" t="n">
        <v>3909</v>
      </c>
      <c r="F189" s="18">
        <f>E189*D189</f>
        <v/>
      </c>
      <c r="G189" s="63" t="n"/>
      <c r="H189" s="11" t="n"/>
    </row>
    <row r="190" hidden="1" ht="15.75" customHeight="1">
      <c r="A190" s="11" t="n"/>
      <c r="B190" s="94" t="inlineStr">
        <is>
          <t>25</t>
        </is>
      </c>
      <c r="C190" s="52" t="inlineStr">
        <is>
          <t>Насос CRE20-01</t>
        </is>
      </c>
      <c r="D190" s="45" t="n"/>
      <c r="E190" s="18" t="n">
        <v>3909</v>
      </c>
      <c r="F190" s="18">
        <f>E190*D190</f>
        <v/>
      </c>
      <c r="G190" s="63" t="n"/>
      <c r="H190" s="11" t="n"/>
    </row>
    <row r="191" hidden="1" ht="15.75" customHeight="1">
      <c r="A191" s="11" t="n"/>
      <c r="B191" s="63" t="inlineStr">
        <is>
          <t>26</t>
        </is>
      </c>
      <c r="C191" s="52" t="inlineStr">
        <is>
          <t>Насос KRGH 40/315; KRGH 80/315, KRGH 200/500</t>
        </is>
      </c>
      <c r="D191" s="45" t="n"/>
      <c r="E191" s="18" t="n">
        <v>20695</v>
      </c>
      <c r="F191" s="18">
        <f>E191*D191</f>
        <v/>
      </c>
      <c r="G191" s="63" t="n"/>
      <c r="H191" s="11" t="n"/>
    </row>
    <row r="192" hidden="1" ht="15.75" customHeight="1">
      <c r="A192" s="11" t="n"/>
      <c r="B192" s="94" t="inlineStr">
        <is>
          <t>27</t>
        </is>
      </c>
      <c r="C192" s="52" t="inlineStr">
        <is>
          <t xml:space="preserve">Насос NF50BP </t>
        </is>
      </c>
      <c r="D192" s="45" t="n"/>
      <c r="E192" s="18" t="n">
        <v>21121</v>
      </c>
      <c r="F192" s="18">
        <f>E192*D192</f>
        <v/>
      </c>
      <c r="G192" s="63" t="n"/>
      <c r="H192" s="11" t="n"/>
    </row>
    <row r="193" hidden="1" ht="15.75" customHeight="1">
      <c r="A193" s="11" t="n"/>
      <c r="B193" s="63" t="inlineStr">
        <is>
          <t>28</t>
        </is>
      </c>
      <c r="C193" s="52" t="inlineStr">
        <is>
          <t>Насос NM038BT02S12B</t>
        </is>
      </c>
      <c r="D193" s="45" t="n"/>
      <c r="E193" s="18" t="n">
        <v>21121</v>
      </c>
      <c r="F193" s="18">
        <f>E193*D193</f>
        <v/>
      </c>
      <c r="G193" s="63" t="n"/>
      <c r="H193" s="11" t="n"/>
    </row>
    <row r="194" hidden="1" ht="15.75" customHeight="1">
      <c r="A194" s="11" t="n"/>
      <c r="B194" s="94" t="inlineStr">
        <is>
          <t>29</t>
        </is>
      </c>
      <c r="C194" s="52" t="inlineStr">
        <is>
          <t>Насос PIAX 32/28</t>
        </is>
      </c>
      <c r="D194" s="45" t="n"/>
      <c r="E194" s="18" t="n">
        <v>356</v>
      </c>
      <c r="F194" s="18">
        <f>E194*D194</f>
        <v/>
      </c>
      <c r="G194" s="63" t="n"/>
      <c r="H194" s="11" t="n"/>
    </row>
    <row r="195" hidden="1" ht="15.75" customHeight="1">
      <c r="A195" s="11" t="n"/>
      <c r="B195" s="63" t="inlineStr">
        <is>
          <t>30</t>
        </is>
      </c>
      <c r="C195" s="77" t="inlineStr">
        <is>
          <t>Насос PKG100L50H17 2/9C5VV3Z</t>
        </is>
      </c>
      <c r="D195" s="45" t="n"/>
      <c r="E195" s="18" t="n">
        <v>4051</v>
      </c>
      <c r="F195" s="18">
        <f>E195*D195</f>
        <v/>
      </c>
      <c r="G195" s="63" t="n"/>
      <c r="H195" s="11" t="n"/>
    </row>
    <row r="196" hidden="1" ht="15.75" customHeight="1">
      <c r="A196" s="11" t="n"/>
      <c r="B196" s="94" t="inlineStr">
        <is>
          <t>31</t>
        </is>
      </c>
      <c r="C196" s="77" t="inlineStr">
        <is>
          <t>Насос SEG 40.12.2/1.502</t>
        </is>
      </c>
      <c r="D196" s="45" t="n"/>
      <c r="E196" s="18" t="n">
        <v>4051</v>
      </c>
      <c r="F196" s="18">
        <f>E196*D196</f>
        <v/>
      </c>
      <c r="G196" s="63" t="n"/>
      <c r="H196" s="11" t="n"/>
    </row>
    <row r="197" ht="15.75" customHeight="1">
      <c r="A197" s="11" t="n"/>
      <c r="B197" s="63" t="inlineStr">
        <is>
          <t>32</t>
        </is>
      </c>
      <c r="C197" s="77" t="inlineStr">
        <is>
          <t>Насос АХП 45/31, АХП 50-32-200…80-65-160</t>
        </is>
      </c>
      <c r="D197" s="45" t="n"/>
      <c r="E197" s="18" t="n">
        <v>10752</v>
      </c>
      <c r="F197" s="18">
        <f>E197*D197</f>
        <v/>
      </c>
      <c r="G197" s="63" t="n"/>
      <c r="H197" s="11" t="n"/>
    </row>
    <row r="198" ht="15.75" customHeight="1">
      <c r="A198" s="11" t="n"/>
      <c r="B198" s="94" t="inlineStr">
        <is>
          <t>33</t>
        </is>
      </c>
      <c r="C198" s="52" t="inlineStr">
        <is>
          <t>Насос ВКС 2/26</t>
        </is>
      </c>
      <c r="D198" s="87" t="n"/>
      <c r="E198" s="87" t="n">
        <v>705</v>
      </c>
      <c r="F198" s="18">
        <f>E198*D198</f>
        <v/>
      </c>
      <c r="G198" s="63" t="n"/>
      <c r="H198" s="11" t="n"/>
    </row>
    <row r="199" ht="21" customHeight="1">
      <c r="A199" s="11" t="n"/>
      <c r="B199" s="63" t="inlineStr">
        <is>
          <t>34</t>
        </is>
      </c>
      <c r="C199" s="52" t="inlineStr">
        <is>
          <t>Насос ВНД 80/43; ВНД 50/350, ВНД 50/100, ВНД 6,3/12,5</t>
        </is>
      </c>
      <c r="D199" s="45" t="n"/>
      <c r="E199" s="45" t="n">
        <v>2101</v>
      </c>
      <c r="F199" s="18">
        <f>E199*D199</f>
        <v/>
      </c>
      <c r="G199" s="63" t="n"/>
      <c r="H199" s="11" t="n"/>
    </row>
    <row r="200" ht="21.75" customHeight="1">
      <c r="A200" s="11" t="n"/>
      <c r="B200" s="94" t="inlineStr">
        <is>
          <t>35</t>
        </is>
      </c>
      <c r="C200" s="52" t="inlineStr">
        <is>
          <t>Насос горизонтальный консольный типа К80-65-160…100-65-250</t>
        </is>
      </c>
      <c r="D200" s="45" t="n"/>
      <c r="E200" s="45" t="n">
        <v>7587</v>
      </c>
      <c r="F200" s="18">
        <f>E200*D200</f>
        <v/>
      </c>
      <c r="G200" s="63" t="n"/>
      <c r="H200" s="11" t="n"/>
    </row>
    <row r="201" ht="15.75" customHeight="1">
      <c r="A201" s="11" t="n"/>
      <c r="B201" s="63" t="inlineStr">
        <is>
          <t>36</t>
        </is>
      </c>
      <c r="C201" s="46" t="inlineStr">
        <is>
          <t>Насос ГХИ 6,3/32</t>
        </is>
      </c>
      <c r="D201" s="45" t="n"/>
      <c r="E201" s="45" t="n">
        <v>2101</v>
      </c>
      <c r="F201" s="18">
        <f>E201*D201</f>
        <v/>
      </c>
      <c r="G201" s="63" t="n"/>
      <c r="H201" s="11" t="n"/>
    </row>
    <row r="202" ht="15.75" customHeight="1">
      <c r="A202" s="11" t="n"/>
      <c r="B202" s="94" t="inlineStr">
        <is>
          <t>37</t>
        </is>
      </c>
      <c r="C202" s="52" t="inlineStr">
        <is>
          <t>Насос дозировочный типа ДП</t>
        </is>
      </c>
      <c r="D202" s="45" t="n"/>
      <c r="E202" s="45" t="n">
        <v>7668</v>
      </c>
      <c r="F202" s="18">
        <f>E202*D202</f>
        <v/>
      </c>
      <c r="G202" s="63" t="n"/>
      <c r="H202" s="11" t="n"/>
    </row>
    <row r="203" ht="15.75" customHeight="1">
      <c r="A203" s="11" t="n"/>
      <c r="B203" s="63" t="inlineStr">
        <is>
          <t>38</t>
        </is>
      </c>
      <c r="C203" s="52" t="inlineStr">
        <is>
          <t>Насос дозировочный типа НД 0,1…40/10...160</t>
        </is>
      </c>
      <c r="D203" s="45" t="n"/>
      <c r="E203" s="18" t="n">
        <v>7668</v>
      </c>
      <c r="F203" s="18">
        <f>E203*D203</f>
        <v/>
      </c>
      <c r="G203" s="63" t="n"/>
      <c r="H203" s="11" t="n"/>
    </row>
    <row r="204" hidden="1" ht="20.25" customHeight="1">
      <c r="A204" s="11" t="n"/>
      <c r="B204" s="94" t="inlineStr">
        <is>
          <t>39</t>
        </is>
      </c>
      <c r="C204" s="52" t="inlineStr">
        <is>
          <t>Насос дозировочный типа НДМ,НДХ (мембранные)</t>
        </is>
      </c>
      <c r="D204" s="45" t="n"/>
      <c r="E204" s="18" t="n">
        <v>8000</v>
      </c>
      <c r="F204" s="18">
        <f>E204*D204</f>
        <v/>
      </c>
      <c r="G204" s="63" t="n"/>
      <c r="H204" s="11" t="n"/>
    </row>
    <row r="205" hidden="1" ht="15.75" customHeight="1">
      <c r="A205" s="11" t="n"/>
      <c r="B205" s="63" t="inlineStr">
        <is>
          <t>40</t>
        </is>
      </c>
      <c r="C205" s="52" t="inlineStr">
        <is>
          <t>Насос дозировочный типа УН1Д-Р</t>
        </is>
      </c>
      <c r="D205" s="45" t="n"/>
      <c r="E205" s="18" t="n">
        <v>8000</v>
      </c>
      <c r="F205" s="18">
        <f>E205*D205</f>
        <v/>
      </c>
      <c r="G205" s="63" t="n"/>
      <c r="H205" s="11" t="n"/>
    </row>
    <row r="206" ht="33" customHeight="1">
      <c r="A206" s="11" t="n"/>
      <c r="B206" s="94" t="inlineStr">
        <is>
          <t>41</t>
        </is>
      </c>
      <c r="C206" s="52" t="inlineStr">
        <is>
          <t>Насос НВ-Мв-50/80; Насос НВ-Мв-Е-50/80; Насос НВ-Мт-50/80; Насос НВ-Мт-Е-50/80; НВД 50/80</t>
        </is>
      </c>
      <c r="D206" s="45" t="n"/>
      <c r="E206" s="18" t="n">
        <v>2101</v>
      </c>
      <c r="F206" s="18">
        <f>E206*D206</f>
        <v/>
      </c>
      <c r="G206" s="63" t="n"/>
      <c r="H206" s="11" t="n"/>
    </row>
    <row r="207" ht="41.25" customHeight="1">
      <c r="A207" s="11" t="n"/>
      <c r="B207" s="63" t="inlineStr">
        <is>
          <t>42</t>
        </is>
      </c>
      <c r="C207" s="52" t="inlineStr">
        <is>
          <t>Насос НВ-Мн-50/50; Насос НВ-Мн-Е-50/50; Насос НВ-Мт-50/50; Насос НВ-Мт-Е-50/50; НВД 50/50; Насос НВ-50/50; Насос НВ-Е-50/50</t>
        </is>
      </c>
      <c r="D207" s="45" t="n">
        <v>1</v>
      </c>
      <c r="E207" s="18" t="n">
        <v>2101</v>
      </c>
      <c r="F207" s="18">
        <f>E207*D207</f>
        <v/>
      </c>
      <c r="G207" s="63" t="n"/>
      <c r="H207" s="11" t="n"/>
    </row>
    <row r="208" ht="15.75" customHeight="1">
      <c r="A208" s="11" t="n"/>
      <c r="B208" s="94" t="inlineStr">
        <is>
          <t>43</t>
        </is>
      </c>
      <c r="C208" s="52" t="inlineStr">
        <is>
          <t xml:space="preserve">Насос НПВ 1250/60 </t>
        </is>
      </c>
      <c r="D208" s="45" t="n"/>
      <c r="E208" s="18" t="n">
        <v>66507</v>
      </c>
      <c r="F208" s="18">
        <f>E208*D208</f>
        <v/>
      </c>
      <c r="G208" s="63" t="n"/>
      <c r="H208" s="11" t="n"/>
    </row>
    <row r="209" hidden="1" ht="23.25" customHeight="1">
      <c r="A209" s="11" t="n"/>
      <c r="B209" s="63" t="inlineStr">
        <is>
          <t>44</t>
        </is>
      </c>
      <c r="C209" s="52" t="inlineStr">
        <is>
          <t>Насос НЦСГ-Е-5-100-П2,5; НЦСГ-Е-12,5-150 -П2,5; НЦСГ-Е-2-40-П</t>
        </is>
      </c>
      <c r="D209" s="45" t="n"/>
      <c r="E209" s="18" t="n">
        <v>50242</v>
      </c>
      <c r="F209" s="18">
        <f>E209*D209</f>
        <v/>
      </c>
      <c r="G209" s="63" t="n"/>
      <c r="H209" s="11" t="n"/>
    </row>
    <row r="210" hidden="1" ht="18.75" customHeight="1">
      <c r="A210" s="11" t="n"/>
      <c r="B210" s="94" t="inlineStr">
        <is>
          <t>45</t>
        </is>
      </c>
      <c r="C210" s="52" t="inlineStr">
        <is>
          <t>Насос СR 32-3-2</t>
        </is>
      </c>
      <c r="D210" s="45" t="n"/>
      <c r="E210" s="18" t="n">
        <v>3909</v>
      </c>
      <c r="F210" s="18">
        <f>E210*D210</f>
        <v/>
      </c>
      <c r="G210" s="63" t="n"/>
      <c r="H210" s="11" t="n"/>
    </row>
    <row r="211" hidden="1" ht="25.5" customHeight="1">
      <c r="A211" s="11" t="n"/>
      <c r="B211" s="63" t="inlineStr">
        <is>
          <t>46</t>
        </is>
      </c>
      <c r="C211" s="52" t="inlineStr">
        <is>
          <t>Насос типа ЦГ6,3/32-2,2-2; ЦГ 6,3/32-2,2-5; ЦГ 6,3/20-1,1-2; ЦГ 6,3/32-1,1-5</t>
        </is>
      </c>
      <c r="D211" s="45" t="n"/>
      <c r="E211" s="18" t="n">
        <v>2051</v>
      </c>
      <c r="F211" s="18">
        <f>E211*D211</f>
        <v/>
      </c>
      <c r="G211" s="63" t="n"/>
      <c r="H211" s="11" t="n"/>
    </row>
    <row r="212" hidden="1" ht="15.75" customHeight="1">
      <c r="A212" s="11" t="n"/>
      <c r="B212" s="94" t="inlineStr">
        <is>
          <t>47</t>
        </is>
      </c>
      <c r="C212" s="52" t="inlineStr">
        <is>
          <t>Насос ТР 100-820/2</t>
        </is>
      </c>
      <c r="D212" s="45" t="n"/>
      <c r="E212" s="18" t="n">
        <v>7569</v>
      </c>
      <c r="F212" s="18">
        <f>E212*D212</f>
        <v/>
      </c>
      <c r="G212" s="63" t="n"/>
      <c r="H212" s="11" t="n"/>
    </row>
    <row r="213" hidden="1" ht="15.75" customHeight="1">
      <c r="A213" s="11" t="n"/>
      <c r="B213" s="63" t="inlineStr">
        <is>
          <t>48</t>
        </is>
      </c>
      <c r="C213" s="52" t="inlineStr">
        <is>
          <t>Насос ХПЕ 80-50-200</t>
        </is>
      </c>
      <c r="D213" s="45" t="n"/>
      <c r="E213" s="18" t="n">
        <v>7569</v>
      </c>
      <c r="F213" s="18">
        <f>E213*D213</f>
        <v/>
      </c>
      <c r="G213" s="63" t="n"/>
      <c r="H213" s="11" t="n"/>
    </row>
    <row r="214" ht="15.75" customHeight="1">
      <c r="A214" s="11" t="n"/>
      <c r="B214" s="94" t="inlineStr">
        <is>
          <t>49</t>
        </is>
      </c>
      <c r="C214" s="52" t="inlineStr">
        <is>
          <t>Насос ЦНС 105/98…490</t>
        </is>
      </c>
      <c r="D214" s="45" t="n"/>
      <c r="E214" s="18" t="n">
        <v>35892</v>
      </c>
      <c r="F214" s="18">
        <f>E214*D214</f>
        <v/>
      </c>
      <c r="G214" s="63" t="n"/>
      <c r="H214" s="11" t="n"/>
    </row>
    <row r="215" ht="15.75" customHeight="1">
      <c r="A215" s="11" t="n"/>
      <c r="B215" s="63" t="inlineStr">
        <is>
          <t>50</t>
        </is>
      </c>
      <c r="C215" s="52" t="inlineStr">
        <is>
          <t>Насос ЦНС 105/98…490 с торцевым уплотнением</t>
        </is>
      </c>
      <c r="D215" s="45" t="n"/>
      <c r="E215" s="18" t="n">
        <v>35892</v>
      </c>
      <c r="F215" s="18">
        <f>E215*D215</f>
        <v/>
      </c>
      <c r="G215" s="63" t="n"/>
      <c r="H215" s="11" t="n"/>
    </row>
    <row r="216" ht="15.75" customHeight="1">
      <c r="A216" s="11" t="n"/>
      <c r="B216" s="94" t="inlineStr">
        <is>
          <t>51</t>
        </is>
      </c>
      <c r="C216" s="52" t="inlineStr">
        <is>
          <t>Насос ЦНС 100...180/870…2050</t>
        </is>
      </c>
      <c r="D216" s="45" t="n">
        <v>1</v>
      </c>
      <c r="E216" s="18" t="n">
        <v>50280</v>
      </c>
      <c r="F216" s="18">
        <f>E216*D216</f>
        <v/>
      </c>
      <c r="G216" s="63" t="n"/>
      <c r="H216" s="11" t="n"/>
    </row>
    <row r="217" ht="15.75" customHeight="1">
      <c r="A217" s="11" t="n"/>
      <c r="B217" s="63" t="inlineStr">
        <is>
          <t>52</t>
        </is>
      </c>
      <c r="C217" s="52" t="inlineStr">
        <is>
          <t>Насос ЦНС 180/85…425</t>
        </is>
      </c>
      <c r="D217" s="45" t="n"/>
      <c r="E217" s="18" t="n">
        <v>38163</v>
      </c>
      <c r="F217" s="18">
        <f>E217*D217</f>
        <v/>
      </c>
      <c r="G217" s="63" t="n"/>
      <c r="H217" s="11" t="n"/>
    </row>
    <row r="218" ht="15.75" customHeight="1">
      <c r="A218" s="11" t="n"/>
      <c r="B218" s="94" t="inlineStr">
        <is>
          <t>53</t>
        </is>
      </c>
      <c r="C218" s="52" t="inlineStr">
        <is>
          <t>Насос ЦНС 180/85…425 с торцевым уплотнением</t>
        </is>
      </c>
      <c r="D218" s="45" t="n"/>
      <c r="E218" s="18" t="n">
        <v>38163</v>
      </c>
      <c r="F218" s="18">
        <f>E218*D218</f>
        <v/>
      </c>
      <c r="G218" s="63" t="n"/>
      <c r="H218" s="11" t="n"/>
    </row>
    <row r="219" ht="12.75" customHeight="1">
      <c r="A219" s="11" t="n"/>
      <c r="B219" s="63" t="inlineStr">
        <is>
          <t>54</t>
        </is>
      </c>
      <c r="C219" s="52" t="inlineStr">
        <is>
          <t xml:space="preserve">Насос ЦНС 225...280/870...1900 </t>
        </is>
      </c>
      <c r="D219" s="45" t="n">
        <v>2</v>
      </c>
      <c r="E219" s="18" t="n">
        <v>50280</v>
      </c>
      <c r="F219" s="18">
        <f>E219*D219</f>
        <v/>
      </c>
      <c r="G219" s="63" t="n"/>
      <c r="H219" s="11" t="n"/>
    </row>
    <row r="220" ht="15.75" customHeight="1">
      <c r="A220" s="11" t="n"/>
      <c r="B220" s="94" t="inlineStr">
        <is>
          <t>55</t>
        </is>
      </c>
      <c r="C220" s="52" t="inlineStr">
        <is>
          <t>Насос ЦНС 300/120…300</t>
        </is>
      </c>
      <c r="D220" s="45" t="n">
        <v>1</v>
      </c>
      <c r="E220" s="18" t="n">
        <v>50280</v>
      </c>
      <c r="F220" s="18">
        <f>E220*D220</f>
        <v/>
      </c>
      <c r="G220" s="63" t="n"/>
      <c r="H220" s="11" t="n"/>
    </row>
    <row r="221" ht="27.75" customHeight="1">
      <c r="A221" s="11" t="n"/>
      <c r="B221" s="63" t="inlineStr">
        <is>
          <t>56</t>
        </is>
      </c>
      <c r="C221" s="52" t="inlineStr">
        <is>
          <t>Насос ЦНС 300/120…300 с торцевым уплотнением</t>
        </is>
      </c>
      <c r="D221" s="45" t="n"/>
      <c r="E221" s="18" t="n">
        <v>50280</v>
      </c>
      <c r="F221" s="18">
        <f>E221*D221</f>
        <v/>
      </c>
      <c r="G221" s="63" t="n"/>
      <c r="H221" s="11" t="n"/>
    </row>
    <row r="222" ht="15.75" customHeight="1">
      <c r="A222" s="11" t="n"/>
      <c r="B222" s="94" t="inlineStr">
        <is>
          <t>57</t>
        </is>
      </c>
      <c r="C222" s="52" t="inlineStr">
        <is>
          <t>Насос ЦНС 300/360…660</t>
        </is>
      </c>
      <c r="D222" s="45" t="n"/>
      <c r="E222" s="18" t="n">
        <v>50280</v>
      </c>
      <c r="F222" s="18">
        <f>E222*D222</f>
        <v/>
      </c>
      <c r="G222" s="63" t="n"/>
      <c r="H222" s="11" t="n"/>
    </row>
    <row r="223" ht="25.5" customHeight="1">
      <c r="A223" s="11" t="n"/>
      <c r="B223" s="63" t="inlineStr">
        <is>
          <t>58</t>
        </is>
      </c>
      <c r="C223" s="52" t="inlineStr">
        <is>
          <t>Насос ЦНС 300/360…660 с торцевым уплотнением</t>
        </is>
      </c>
      <c r="D223" s="45" t="n"/>
      <c r="E223" s="18" t="n">
        <v>50280</v>
      </c>
      <c r="F223" s="18">
        <f>E223*D223</f>
        <v/>
      </c>
      <c r="G223" s="63" t="n"/>
      <c r="H223" s="11" t="n"/>
    </row>
    <row r="224" ht="12.75" customHeight="1">
      <c r="A224" s="11" t="n"/>
      <c r="B224" s="94" t="inlineStr">
        <is>
          <t>59</t>
        </is>
      </c>
      <c r="C224" s="52" t="inlineStr">
        <is>
          <t>Насос ЦНС 310-1510</t>
        </is>
      </c>
      <c r="D224" s="45" t="n"/>
      <c r="E224" s="18" t="n">
        <v>50280</v>
      </c>
      <c r="F224" s="18">
        <f>E224*D224</f>
        <v/>
      </c>
      <c r="G224" s="63" t="n"/>
      <c r="H224" s="11" t="n"/>
    </row>
    <row r="225" ht="15.75" customHeight="1">
      <c r="A225" s="11" t="n"/>
      <c r="B225" s="63" t="inlineStr">
        <is>
          <t>60</t>
        </is>
      </c>
      <c r="C225" s="52" t="inlineStr">
        <is>
          <t>Насос ЦНС 320-1350</t>
        </is>
      </c>
      <c r="D225" s="45" t="n">
        <v>1</v>
      </c>
      <c r="E225" s="18" t="n">
        <v>50280</v>
      </c>
      <c r="F225" s="18">
        <f>E225*D225</f>
        <v/>
      </c>
      <c r="G225" s="63" t="n"/>
      <c r="H225" s="11" t="n"/>
    </row>
    <row r="226" ht="15.75" customHeight="1">
      <c r="A226" s="11" t="n"/>
      <c r="B226" s="94" t="inlineStr">
        <is>
          <t>61</t>
        </is>
      </c>
      <c r="C226" s="52" t="inlineStr">
        <is>
          <t>Насос ЦНС 350-1650</t>
        </is>
      </c>
      <c r="D226" s="45" t="n">
        <v>1</v>
      </c>
      <c r="E226" s="18" t="n">
        <v>50280</v>
      </c>
      <c r="F226" s="18">
        <f>E226*D226</f>
        <v/>
      </c>
      <c r="G226" s="63" t="n"/>
      <c r="H226" s="11" t="n"/>
    </row>
    <row r="227" ht="15.75" customHeight="1">
      <c r="A227" s="11" t="n"/>
      <c r="B227" s="63" t="inlineStr">
        <is>
          <t>62</t>
        </is>
      </c>
      <c r="C227" s="77" t="inlineStr">
        <is>
          <t>Насос ЦНС 40/1400</t>
        </is>
      </c>
      <c r="D227" s="45" t="n"/>
      <c r="E227" s="18" t="n">
        <v>50280</v>
      </c>
      <c r="F227" s="18">
        <f>E227*D227</f>
        <v/>
      </c>
      <c r="G227" s="63" t="n"/>
      <c r="H227" s="11" t="n"/>
    </row>
    <row r="228" ht="15.75" customHeight="1">
      <c r="A228" s="11" t="n"/>
      <c r="B228" s="94" t="inlineStr">
        <is>
          <t>63</t>
        </is>
      </c>
      <c r="C228" s="77" t="inlineStr">
        <is>
          <t>Насос ЦНС-13/70…350</t>
        </is>
      </c>
      <c r="D228" s="45" t="n"/>
      <c r="E228" s="18" t="n">
        <v>26625</v>
      </c>
      <c r="F228" s="18">
        <f>E228*D228</f>
        <v/>
      </c>
      <c r="G228" s="63" t="n"/>
      <c r="H228" s="11" t="n"/>
    </row>
    <row r="229" ht="15.75" customHeight="1">
      <c r="A229" s="11" t="n"/>
      <c r="B229" s="63" t="inlineStr">
        <is>
          <t>64</t>
        </is>
      </c>
      <c r="C229" s="77" t="inlineStr">
        <is>
          <t>Насос ЦНС-13/70…350 с торцевым уплотнением</t>
        </is>
      </c>
      <c r="D229" s="45" t="n"/>
      <c r="E229" s="18" t="n">
        <v>26625</v>
      </c>
      <c r="F229" s="18">
        <f>E229*D229</f>
        <v/>
      </c>
      <c r="G229" s="63" t="n"/>
      <c r="H229" s="11" t="n"/>
    </row>
    <row r="230" ht="15.75" customHeight="1">
      <c r="A230" s="11" t="n"/>
      <c r="B230" s="94" t="inlineStr">
        <is>
          <t>65</t>
        </is>
      </c>
      <c r="C230" s="52" t="inlineStr">
        <is>
          <t>Насос ЦНС-38/44…220</t>
        </is>
      </c>
      <c r="D230" s="87" t="n"/>
      <c r="E230" s="87" t="n">
        <v>26625</v>
      </c>
      <c r="F230" s="18">
        <f>E230*D230</f>
        <v/>
      </c>
      <c r="G230" s="63" t="n"/>
      <c r="H230" s="11" t="n"/>
    </row>
    <row r="231" ht="21" customHeight="1">
      <c r="A231" s="11" t="n"/>
      <c r="B231" s="63" t="inlineStr">
        <is>
          <t>66</t>
        </is>
      </c>
      <c r="C231" s="52" t="inlineStr">
        <is>
          <t>Насос ЦНС-38/44…220 с торцевым уплотнением</t>
        </is>
      </c>
      <c r="D231" s="45" t="n">
        <v>1</v>
      </c>
      <c r="E231" s="45" t="n">
        <v>26625</v>
      </c>
      <c r="F231" s="18">
        <f>E231*D231</f>
        <v/>
      </c>
      <c r="G231" s="63" t="n"/>
      <c r="H231" s="11" t="n"/>
    </row>
    <row r="232" ht="15.75" customHeight="1">
      <c r="A232" s="11" t="n"/>
      <c r="B232" s="94" t="inlineStr">
        <is>
          <t>67</t>
        </is>
      </c>
      <c r="C232" s="52" t="inlineStr">
        <is>
          <t>Насос ЦНС-60/66…330</t>
        </is>
      </c>
      <c r="D232" s="45" t="n"/>
      <c r="E232" s="45" t="n">
        <v>26625</v>
      </c>
      <c r="F232" s="18">
        <f>E232*D232</f>
        <v/>
      </c>
      <c r="G232" s="63" t="n"/>
      <c r="H232" s="11" t="n"/>
    </row>
    <row r="233" ht="18.75" customHeight="1">
      <c r="A233" s="11" t="n"/>
      <c r="B233" s="63" t="inlineStr">
        <is>
          <t>68</t>
        </is>
      </c>
      <c r="C233" s="46" t="inlineStr">
        <is>
          <t>Насос ЦНС-60/66…330 с торцевым уплотнением</t>
        </is>
      </c>
      <c r="D233" s="45" t="n">
        <v>1</v>
      </c>
      <c r="E233" s="45" t="n">
        <v>26625</v>
      </c>
      <c r="F233" s="18">
        <f>E233*D233</f>
        <v/>
      </c>
      <c r="G233" s="63" t="n"/>
      <c r="H233" s="11" t="n"/>
    </row>
    <row r="234" ht="15.75" customHeight="1">
      <c r="A234" s="11" t="n"/>
      <c r="B234" s="94" t="inlineStr">
        <is>
          <t>69</t>
        </is>
      </c>
      <c r="C234" s="52" t="inlineStr">
        <is>
          <t xml:space="preserve">Насос ЦНС-63/1000...1900 </t>
        </is>
      </c>
      <c r="D234" s="45" t="n"/>
      <c r="E234" s="45" t="n">
        <v>50280</v>
      </c>
      <c r="F234" s="18">
        <f>E234*D234</f>
        <v/>
      </c>
      <c r="G234" s="63" t="n"/>
      <c r="H234" s="11" t="n"/>
    </row>
    <row r="235" ht="15.75" customHeight="1">
      <c r="A235" s="11" t="n"/>
      <c r="B235" s="63" t="inlineStr">
        <is>
          <t>70</t>
        </is>
      </c>
      <c r="C235" s="52" t="inlineStr">
        <is>
          <t xml:space="preserve">Насос ЦНС-90/1100...1900 </t>
        </is>
      </c>
      <c r="D235" s="45" t="n"/>
      <c r="E235" s="18" t="n">
        <v>50280</v>
      </c>
      <c r="F235" s="18">
        <f>E235*D235</f>
        <v/>
      </c>
      <c r="G235" s="63" t="n"/>
      <c r="H235" s="11" t="n"/>
    </row>
    <row r="236" ht="43.5" customHeight="1">
      <c r="A236" s="11" t="n"/>
      <c r="B236" s="94" t="inlineStr">
        <is>
          <t>71</t>
        </is>
      </c>
      <c r="C236" s="52" t="inlineStr">
        <is>
          <t>Насос шестеренный типа НМШ5-25-4,0/4; НМШ5-25-4,0/10; НМШ5-25-4,0/25; НМШ8-25-6,3/2,5; НМШ8-25-6,3/10; НМШ8-25-6,3/25, НШ 5/25</t>
        </is>
      </c>
      <c r="D236" s="45" t="n"/>
      <c r="E236" s="18" t="n">
        <v>7216</v>
      </c>
      <c r="F236" s="18">
        <f>E236*D236</f>
        <v/>
      </c>
      <c r="G236" s="63" t="n"/>
      <c r="H236" s="11" t="n"/>
    </row>
    <row r="237" hidden="1" ht="15.75" customHeight="1">
      <c r="A237" s="11" t="n"/>
      <c r="B237" s="63" t="inlineStr">
        <is>
          <t>72</t>
        </is>
      </c>
      <c r="C237" s="66" t="inlineStr">
        <is>
          <t>Поршневой компрессор К2</t>
        </is>
      </c>
      <c r="D237" s="64" t="n"/>
      <c r="E237" s="26" t="n">
        <v>24151</v>
      </c>
      <c r="F237" s="26">
        <f>E237*D237</f>
        <v/>
      </c>
      <c r="G237" s="63" t="n"/>
      <c r="H237" s="11" t="n"/>
    </row>
    <row r="238" ht="14.25" customHeight="1">
      <c r="A238" s="11" t="n"/>
      <c r="B238" s="85" t="inlineStr">
        <is>
          <t>ИТОГО:</t>
        </is>
      </c>
      <c r="D238" s="63" t="n"/>
      <c r="E238" s="63" t="n"/>
      <c r="F238" s="26">
        <f>SUM(F166:F237)</f>
        <v/>
      </c>
      <c r="G238" s="63" t="n"/>
      <c r="H238" s="11" t="n"/>
    </row>
    <row r="239" ht="14.25" customHeight="1">
      <c r="A239" s="11" t="n"/>
      <c r="B239" s="90" t="inlineStr">
        <is>
          <t>МОНТАЖ</t>
        </is>
      </c>
      <c r="D239" s="63" t="n"/>
      <c r="E239" s="63" t="n"/>
      <c r="F239" s="26" t="n"/>
      <c r="G239" s="63" t="n"/>
      <c r="H239" s="11" t="n"/>
    </row>
    <row r="240" hidden="1" ht="29.25" customHeight="1">
      <c r="A240" s="11" t="n"/>
      <c r="B240" s="94" t="inlineStr">
        <is>
          <t>1</t>
        </is>
      </c>
      <c r="C240" s="66" t="inlineStr">
        <is>
          <t>Агрегат турбокомпрессорный ТКА-Ц-12/0,4-6,1М1 без двигателя</t>
        </is>
      </c>
      <c r="D240" s="63" t="n"/>
      <c r="E240" s="63" t="n">
        <v>4597789</v>
      </c>
      <c r="F240" s="26">
        <f>E240*D240</f>
        <v/>
      </c>
      <c r="G240" s="63" t="n"/>
      <c r="H240" s="11" t="n"/>
    </row>
    <row r="241" hidden="1" ht="16.5" customHeight="1">
      <c r="A241" s="11" t="n"/>
      <c r="B241" s="63" t="inlineStr">
        <is>
          <t>2</t>
        </is>
      </c>
      <c r="C241" s="66" t="inlineStr">
        <is>
          <t>БНСП 1400-900</t>
        </is>
      </c>
      <c r="D241" s="64" t="n"/>
      <c r="E241" s="64" t="n">
        <v>177535</v>
      </c>
      <c r="F241" s="26">
        <f>E241*D241</f>
        <v/>
      </c>
      <c r="G241" s="63" t="n"/>
      <c r="H241" s="11" t="n"/>
    </row>
    <row r="242" hidden="1" ht="16.5" customHeight="1">
      <c r="A242" s="11" t="n"/>
      <c r="B242" s="94" t="inlineStr">
        <is>
          <t>3</t>
        </is>
      </c>
      <c r="C242" s="66" t="inlineStr">
        <is>
          <t>ГНС 700</t>
        </is>
      </c>
      <c r="D242" s="64" t="n"/>
      <c r="E242" s="64" t="n">
        <v>177535</v>
      </c>
      <c r="F242" s="26">
        <f>E242*D242</f>
        <v/>
      </c>
      <c r="G242" s="63" t="n"/>
      <c r="H242" s="11" t="n"/>
    </row>
    <row r="243" hidden="1" ht="16.5" customHeight="1">
      <c r="A243" s="11" t="n"/>
      <c r="B243" s="63" t="inlineStr">
        <is>
          <t>4</t>
        </is>
      </c>
      <c r="C243" s="100" t="inlineStr">
        <is>
          <t>ГНС S 100 N</t>
        </is>
      </c>
      <c r="D243" s="64" t="n"/>
      <c r="E243" s="64" t="n">
        <v>177535</v>
      </c>
      <c r="F243" s="26">
        <f>E243*D243</f>
        <v/>
      </c>
      <c r="G243" s="63" t="n"/>
      <c r="H243" s="11" t="n"/>
    </row>
    <row r="244" hidden="1" ht="16.5" customHeight="1">
      <c r="A244" s="11" t="n"/>
      <c r="B244" s="94" t="inlineStr">
        <is>
          <t>5</t>
        </is>
      </c>
      <c r="C244" s="66" t="inlineStr">
        <is>
          <t>ГНС S 175 N</t>
        </is>
      </c>
      <c r="D244" s="64" t="n"/>
      <c r="E244" s="64" t="n">
        <v>177535</v>
      </c>
      <c r="F244" s="26">
        <f>E244*D244</f>
        <v/>
      </c>
      <c r="G244" s="63" t="n"/>
      <c r="H244" s="11" t="n"/>
    </row>
    <row r="245" hidden="1" ht="16.5" customHeight="1">
      <c r="A245" s="11" t="n"/>
      <c r="B245" s="63" t="inlineStr">
        <is>
          <t>6</t>
        </is>
      </c>
      <c r="C245" s="66" t="inlineStr">
        <is>
          <t>ГНУ 3000/1900</t>
        </is>
      </c>
      <c r="D245" s="64" t="n"/>
      <c r="E245" s="26" t="n">
        <v>177535</v>
      </c>
      <c r="F245" s="26">
        <f>E245*D245</f>
        <v/>
      </c>
      <c r="G245" s="63" t="n"/>
      <c r="H245" s="11" t="n"/>
    </row>
    <row r="246" hidden="1" ht="16.5" customHeight="1">
      <c r="A246" s="11" t="n"/>
      <c r="B246" s="94" t="inlineStr">
        <is>
          <t>7</t>
        </is>
      </c>
      <c r="C246" s="66" t="inlineStr">
        <is>
          <t>Насос плунжерный КАМАТ тип К</t>
        </is>
      </c>
      <c r="D246" s="64" t="n"/>
      <c r="E246" s="26" t="n">
        <v>121503</v>
      </c>
      <c r="F246" s="26">
        <f>E246*D246</f>
        <v/>
      </c>
      <c r="G246" s="63" t="n"/>
      <c r="H246" s="11" t="n"/>
    </row>
    <row r="247" hidden="1" ht="16.5" customHeight="1">
      <c r="A247" s="11" t="n"/>
      <c r="B247" s="63" t="inlineStr">
        <is>
          <t>8</t>
        </is>
      </c>
      <c r="C247" s="66" t="inlineStr">
        <is>
          <t>Компрессор 2НВ2КТ/126/330</t>
        </is>
      </c>
      <c r="D247" s="64" t="n"/>
      <c r="E247" s="26" t="n">
        <v>58580</v>
      </c>
      <c r="F247" s="26">
        <f>E247*D247</f>
        <v/>
      </c>
      <c r="G247" s="63" t="n"/>
      <c r="H247" s="11" t="n"/>
    </row>
    <row r="248" hidden="1" ht="16.5" customHeight="1">
      <c r="A248" s="11" t="n"/>
      <c r="B248" s="94" t="inlineStr">
        <is>
          <t>9</t>
        </is>
      </c>
      <c r="C248" s="66" t="inlineStr">
        <is>
          <t>Компрессор 4ВУ1-5/9</t>
        </is>
      </c>
      <c r="D248" s="64" t="n"/>
      <c r="E248" s="26" t="n">
        <v>61350</v>
      </c>
      <c r="F248" s="26">
        <f>E248*D248</f>
        <v/>
      </c>
      <c r="G248" s="63" t="n"/>
      <c r="H248" s="11" t="n"/>
    </row>
    <row r="249" hidden="1" ht="16.5" customHeight="1">
      <c r="A249" s="11" t="n"/>
      <c r="B249" s="63" t="inlineStr">
        <is>
          <t>10</t>
        </is>
      </c>
      <c r="C249" s="66" t="inlineStr">
        <is>
          <t>Компрессор A2YI-52-16-8, К-10А2У1-52-16</t>
        </is>
      </c>
      <c r="D249" s="64" t="n"/>
      <c r="E249" s="26" t="n">
        <v>16899</v>
      </c>
      <c r="F249" s="26">
        <f>E249*D249</f>
        <v/>
      </c>
      <c r="G249" s="63" t="n"/>
      <c r="H249" s="11" t="n"/>
    </row>
    <row r="250" hidden="1" ht="16.5" customHeight="1">
      <c r="A250" s="11" t="n"/>
      <c r="B250" s="94" t="inlineStr">
        <is>
          <t>11</t>
        </is>
      </c>
      <c r="C250" s="66" t="inlineStr">
        <is>
          <t>Компрессор воздушный Atlas Copco ZT90VSD</t>
        </is>
      </c>
      <c r="D250" s="64" t="n"/>
      <c r="E250" s="26" t="n">
        <v>104590</v>
      </c>
      <c r="F250" s="26">
        <f>E250*D250</f>
        <v/>
      </c>
      <c r="G250" s="63" t="n"/>
      <c r="H250" s="11" t="n"/>
    </row>
    <row r="251" hidden="1" ht="16.5" customHeight="1">
      <c r="A251" s="11" t="n"/>
      <c r="B251" s="63" t="inlineStr">
        <is>
          <t>12</t>
        </is>
      </c>
      <c r="C251" s="66" t="inlineStr">
        <is>
          <t>Компрессор ТАКАТ 11.05;  Борец 1С2ГП;  EGSI-S-150/200 WA</t>
        </is>
      </c>
      <c r="D251" s="64" t="n"/>
      <c r="E251" s="26" t="n">
        <v>52040</v>
      </c>
      <c r="F251" s="26">
        <f>E251*D251</f>
        <v/>
      </c>
      <c r="G251" s="63" t="n"/>
      <c r="H251" s="11" t="n"/>
    </row>
    <row r="252" ht="15.75" customHeight="1">
      <c r="A252" s="11" t="n"/>
      <c r="B252" s="94" t="inlineStr">
        <is>
          <t>13</t>
        </is>
      </c>
      <c r="C252" s="66" t="inlineStr">
        <is>
          <t>Насос Д160-112Б</t>
        </is>
      </c>
      <c r="D252" s="64" t="n"/>
      <c r="E252" s="26" t="n">
        <v>23217</v>
      </c>
      <c r="F252" s="26">
        <f>E252*D252</f>
        <v/>
      </c>
      <c r="G252" s="63" t="n"/>
      <c r="H252" s="11" t="n"/>
    </row>
    <row r="253" ht="15.75" customHeight="1">
      <c r="A253" s="11" t="n"/>
      <c r="B253" s="63" t="inlineStr">
        <is>
          <t>14</t>
        </is>
      </c>
      <c r="C253" s="66" t="inlineStr">
        <is>
          <t>Насос 1 Д200-90</t>
        </is>
      </c>
      <c r="D253" s="64" t="n">
        <v>2</v>
      </c>
      <c r="E253" s="26" t="n">
        <v>18271</v>
      </c>
      <c r="F253" s="26">
        <f>E253*D253</f>
        <v/>
      </c>
      <c r="G253" s="63" t="n"/>
      <c r="H253" s="11" t="n"/>
    </row>
    <row r="254" ht="15.75" customHeight="1">
      <c r="A254" s="11" t="n"/>
      <c r="B254" s="94" t="inlineStr">
        <is>
          <t>15</t>
        </is>
      </c>
      <c r="C254" s="66" t="inlineStr">
        <is>
          <t>Насос 1 Д250-125</t>
        </is>
      </c>
      <c r="D254" s="64" t="n"/>
      <c r="E254" s="26" t="n">
        <v>18271</v>
      </c>
      <c r="F254" s="26">
        <f>E254*D254</f>
        <v/>
      </c>
      <c r="G254" s="63" t="n"/>
      <c r="H254" s="11" t="n"/>
    </row>
    <row r="255" ht="15.75" customHeight="1">
      <c r="A255" s="11" t="n"/>
      <c r="B255" s="63" t="inlineStr">
        <is>
          <t>16</t>
        </is>
      </c>
      <c r="C255" s="66" t="inlineStr">
        <is>
          <t>Насос 1 Д315-50...71</t>
        </is>
      </c>
      <c r="D255" s="64" t="n"/>
      <c r="E255" s="26" t="n">
        <v>18271</v>
      </c>
      <c r="F255" s="26">
        <f>E255*D255</f>
        <v/>
      </c>
      <c r="G255" s="63" t="n"/>
      <c r="H255" s="11" t="n"/>
    </row>
    <row r="256" ht="15.75" customHeight="1">
      <c r="A256" s="11" t="n"/>
      <c r="B256" s="94" t="inlineStr">
        <is>
          <t>17</t>
        </is>
      </c>
      <c r="C256" s="66" t="inlineStr">
        <is>
          <t>Насос 1 Д500-63</t>
        </is>
      </c>
      <c r="D256" s="64" t="n"/>
      <c r="E256" s="26" t="n">
        <v>18271</v>
      </c>
      <c r="F256" s="26">
        <f>E256*D256</f>
        <v/>
      </c>
      <c r="G256" s="63" t="n"/>
      <c r="H256" s="11" t="n"/>
    </row>
    <row r="257" ht="15.75" customHeight="1">
      <c r="A257" s="11" t="n"/>
      <c r="B257" s="63" t="inlineStr">
        <is>
          <t>18</t>
        </is>
      </c>
      <c r="C257" s="66" t="inlineStr">
        <is>
          <t>Насос 1 Д630-90...125</t>
        </is>
      </c>
      <c r="D257" s="45" t="n"/>
      <c r="E257" s="18" t="n">
        <v>43240</v>
      </c>
      <c r="F257" s="18">
        <f>E257*D257</f>
        <v/>
      </c>
      <c r="G257" s="63" t="n"/>
      <c r="H257" s="11" t="n"/>
    </row>
    <row r="258" ht="12.75" customHeight="1">
      <c r="A258" s="11" t="n"/>
      <c r="B258" s="94" t="inlineStr">
        <is>
          <t>19</t>
        </is>
      </c>
      <c r="C258" s="66" t="inlineStr">
        <is>
          <t>Насос 1 Д1250-63…125</t>
        </is>
      </c>
      <c r="D258" s="45" t="n"/>
      <c r="E258" s="18" t="n">
        <v>43240</v>
      </c>
      <c r="F258" s="18">
        <f>E258*D258</f>
        <v/>
      </c>
      <c r="G258" s="63" t="n"/>
      <c r="H258" s="11" t="n"/>
    </row>
    <row r="259" ht="15.75" customHeight="1">
      <c r="A259" s="11" t="n"/>
      <c r="B259" s="63" t="inlineStr">
        <is>
          <t>20</t>
        </is>
      </c>
      <c r="C259" s="66" t="inlineStr">
        <is>
          <t>Насос 12НА-9х4</t>
        </is>
      </c>
      <c r="D259" s="45" t="n"/>
      <c r="E259" s="18" t="n">
        <v>24276</v>
      </c>
      <c r="F259" s="18">
        <f>E259*D259</f>
        <v/>
      </c>
      <c r="G259" s="63" t="n"/>
      <c r="H259" s="11" t="n"/>
    </row>
    <row r="260" hidden="1" ht="15.75" customHeight="1">
      <c r="A260" s="11" t="n"/>
      <c r="B260" s="94" t="inlineStr">
        <is>
          <t>21</t>
        </is>
      </c>
      <c r="C260" s="66" t="inlineStr">
        <is>
          <t>Насос 1АСВН-80АМ(С)/6</t>
        </is>
      </c>
      <c r="D260" s="45" t="n"/>
      <c r="E260" s="18" t="n">
        <v>59522</v>
      </c>
      <c r="F260" s="18">
        <f>E260*D260</f>
        <v/>
      </c>
      <c r="G260" s="63" t="n"/>
      <c r="H260" s="11" t="n"/>
    </row>
    <row r="261" hidden="1" ht="15.75" customHeight="1">
      <c r="A261" s="11" t="n"/>
      <c r="B261" s="63" t="inlineStr">
        <is>
          <t>22</t>
        </is>
      </c>
      <c r="C261" s="66" t="inlineStr">
        <is>
          <t>Насос 20А-18-1-11</t>
        </is>
      </c>
      <c r="D261" s="45" t="n"/>
      <c r="E261" s="18" t="n">
        <v>139731</v>
      </c>
      <c r="F261" s="18">
        <f>E261*D261</f>
        <v/>
      </c>
      <c r="G261" s="63" t="n"/>
      <c r="H261" s="11" t="n"/>
    </row>
    <row r="262" hidden="1" ht="15.75" customHeight="1">
      <c r="A262" s="11" t="n"/>
      <c r="B262" s="94" t="inlineStr">
        <is>
          <t>23</t>
        </is>
      </c>
      <c r="C262" s="66" t="inlineStr">
        <is>
          <t>Насос BUL 6,3/64</t>
        </is>
      </c>
      <c r="D262" s="45" t="n"/>
      <c r="E262" s="18" t="n">
        <v>2721</v>
      </c>
      <c r="F262" s="18">
        <f>E262*D262</f>
        <v/>
      </c>
      <c r="G262" s="63" t="n"/>
      <c r="H262" s="11" t="n"/>
    </row>
    <row r="263" hidden="1" ht="15.75" customHeight="1">
      <c r="A263" s="11" t="n"/>
      <c r="B263" s="63" t="inlineStr">
        <is>
          <t>24</t>
        </is>
      </c>
      <c r="C263" s="66" t="inlineStr">
        <is>
          <t>Насос CR15-02</t>
        </is>
      </c>
      <c r="D263" s="45" t="n"/>
      <c r="E263" s="18" t="n">
        <v>9624</v>
      </c>
      <c r="F263" s="18">
        <f>E263*D263</f>
        <v/>
      </c>
      <c r="G263" s="63" t="n"/>
      <c r="H263" s="11" t="n"/>
    </row>
    <row r="264" hidden="1" ht="15.75" customHeight="1">
      <c r="A264" s="11" t="n"/>
      <c r="B264" s="94" t="inlineStr">
        <is>
          <t>25</t>
        </is>
      </c>
      <c r="C264" s="66" t="inlineStr">
        <is>
          <t>Насос CRE20-01</t>
        </is>
      </c>
      <c r="D264" s="45" t="n"/>
      <c r="E264" s="18" t="n">
        <v>9624</v>
      </c>
      <c r="F264" s="18">
        <f>E264*D264</f>
        <v/>
      </c>
      <c r="G264" s="63" t="n"/>
      <c r="H264" s="11" t="n"/>
    </row>
    <row r="265" hidden="1" ht="15.75" customHeight="1">
      <c r="A265" s="11" t="n"/>
      <c r="B265" s="63" t="inlineStr">
        <is>
          <t>26</t>
        </is>
      </c>
      <c r="C265" s="66" t="inlineStr">
        <is>
          <t>Насос KRGH 40/315; KRGH 80/315, KRGH 200/500</t>
        </is>
      </c>
      <c r="D265" s="45" t="n"/>
      <c r="E265" s="18" t="n">
        <v>37560</v>
      </c>
      <c r="F265" s="18">
        <f>E265*D265</f>
        <v/>
      </c>
      <c r="G265" s="63" t="n"/>
      <c r="H265" s="11" t="n"/>
    </row>
    <row r="266" hidden="1" ht="15.75" customHeight="1">
      <c r="A266" s="11" t="n"/>
      <c r="B266" s="94" t="inlineStr">
        <is>
          <t>27</t>
        </is>
      </c>
      <c r="C266" s="66" t="inlineStr">
        <is>
          <t xml:space="preserve">Насос NF50BP </t>
        </is>
      </c>
      <c r="D266" s="45" t="n"/>
      <c r="E266" s="18" t="n">
        <v>44840</v>
      </c>
      <c r="F266" s="18">
        <f>E266*D266</f>
        <v/>
      </c>
      <c r="G266" s="63" t="n"/>
      <c r="H266" s="11" t="n"/>
    </row>
    <row r="267" hidden="1" ht="15.75" customHeight="1">
      <c r="A267" s="11" t="n"/>
      <c r="B267" s="63" t="inlineStr">
        <is>
          <t>28</t>
        </is>
      </c>
      <c r="C267" s="69" t="inlineStr">
        <is>
          <t>Насос NM038BT02S12B</t>
        </is>
      </c>
      <c r="D267" s="45" t="n"/>
      <c r="E267" s="18" t="n">
        <v>57631</v>
      </c>
      <c r="F267" s="18">
        <f>E267*D267</f>
        <v/>
      </c>
      <c r="G267" s="63" t="n"/>
      <c r="H267" s="11" t="n"/>
    </row>
    <row r="268" hidden="1" ht="15.75" customHeight="1">
      <c r="A268" s="11" t="n"/>
      <c r="B268" s="94" t="inlineStr">
        <is>
          <t>29</t>
        </is>
      </c>
      <c r="C268" s="66" t="inlineStr">
        <is>
          <t>Насос PIAX 32/28</t>
        </is>
      </c>
      <c r="D268" s="45" t="n"/>
      <c r="E268" s="18" t="n">
        <v>2721</v>
      </c>
      <c r="F268" s="18">
        <f>E268*D268</f>
        <v/>
      </c>
      <c r="G268" s="63" t="n"/>
      <c r="H268" s="11" t="n"/>
    </row>
    <row r="269" hidden="1" ht="15.75" customHeight="1">
      <c r="A269" s="11" t="n"/>
      <c r="B269" s="63" t="inlineStr">
        <is>
          <t>30</t>
        </is>
      </c>
      <c r="C269" s="50" t="inlineStr">
        <is>
          <t>Насос PKG100L50H17 2/9C5VV3Z</t>
        </is>
      </c>
      <c r="D269" s="45" t="n"/>
      <c r="E269" s="18" t="n">
        <v>28777</v>
      </c>
      <c r="F269" s="18">
        <f>E269*D269</f>
        <v/>
      </c>
      <c r="G269" s="63" t="n"/>
      <c r="H269" s="11" t="n"/>
    </row>
    <row r="270" hidden="1" ht="15.75" customHeight="1">
      <c r="A270" s="11" t="n"/>
      <c r="B270" s="94" t="inlineStr">
        <is>
          <t>31</t>
        </is>
      </c>
      <c r="C270" s="50" t="inlineStr">
        <is>
          <t>Насос SEG 40.12.2/1.502</t>
        </is>
      </c>
      <c r="D270" s="45" t="n"/>
      <c r="E270" s="18" t="n">
        <v>28777</v>
      </c>
      <c r="F270" s="18">
        <f>E270*D270</f>
        <v/>
      </c>
      <c r="G270" s="63" t="n"/>
      <c r="H270" s="11" t="n"/>
    </row>
    <row r="271" ht="15.75" customHeight="1">
      <c r="A271" s="11" t="n"/>
      <c r="B271" s="63" t="inlineStr">
        <is>
          <t>32</t>
        </is>
      </c>
      <c r="C271" s="50" t="inlineStr">
        <is>
          <t>Насос АХП 45/31, АХП 50-32-200…80-65-160</t>
        </is>
      </c>
      <c r="D271" s="45" t="n"/>
      <c r="E271" s="18" t="n">
        <v>12123</v>
      </c>
      <c r="F271" s="18">
        <f>E271*D271</f>
        <v/>
      </c>
      <c r="G271" s="63" t="n"/>
      <c r="H271" s="11" t="n"/>
    </row>
    <row r="272" ht="15.75" customHeight="1">
      <c r="A272" s="11" t="n"/>
      <c r="B272" s="94" t="inlineStr">
        <is>
          <t>33</t>
        </is>
      </c>
      <c r="C272" s="66" t="inlineStr">
        <is>
          <t>Насос ВКС 2/26</t>
        </is>
      </c>
      <c r="D272" s="87" t="n"/>
      <c r="E272" s="87" t="n">
        <v>8711</v>
      </c>
      <c r="F272" s="18">
        <f>E272*D272</f>
        <v/>
      </c>
      <c r="G272" s="63" t="n"/>
      <c r="H272" s="11" t="n"/>
    </row>
    <row r="273" ht="15.75" customHeight="1">
      <c r="A273" s="11" t="n"/>
      <c r="B273" s="63" t="inlineStr">
        <is>
          <t>34</t>
        </is>
      </c>
      <c r="C273" s="66" t="inlineStr">
        <is>
          <t>Насос ВНД 80/43; ВНД 50/350, ВНД 50/100, ВНД 6,3/12,5</t>
        </is>
      </c>
      <c r="D273" s="45" t="n"/>
      <c r="E273" s="45" t="n">
        <v>9624</v>
      </c>
      <c r="F273" s="18">
        <f>E273*D273</f>
        <v/>
      </c>
      <c r="G273" s="63" t="n"/>
      <c r="H273" s="11" t="n"/>
    </row>
    <row r="274" ht="15.75" customHeight="1">
      <c r="A274" s="11" t="n"/>
      <c r="B274" s="94" t="inlineStr">
        <is>
          <t>35</t>
        </is>
      </c>
      <c r="C274" s="66" t="inlineStr">
        <is>
          <t>Насос горизонтальный консольный типа К80-65-160…100-65-250</t>
        </is>
      </c>
      <c r="D274" s="45" t="n"/>
      <c r="E274" s="45" t="n">
        <v>4751</v>
      </c>
      <c r="F274" s="18">
        <f>E274*D274</f>
        <v/>
      </c>
      <c r="G274" s="63" t="n"/>
      <c r="H274" s="11" t="n"/>
    </row>
    <row r="275" ht="15.75" customHeight="1">
      <c r="A275" s="11" t="n"/>
      <c r="B275" s="63" t="inlineStr">
        <is>
          <t>36</t>
        </is>
      </c>
      <c r="C275" s="100" t="inlineStr">
        <is>
          <t>Насос ГХИ 6,3/32</t>
        </is>
      </c>
      <c r="D275" s="45" t="n"/>
      <c r="E275" s="45" t="n">
        <v>9624</v>
      </c>
      <c r="F275" s="18">
        <f>E275*D275</f>
        <v/>
      </c>
      <c r="G275" s="63" t="n"/>
      <c r="H275" s="11" t="n"/>
    </row>
    <row r="276" ht="15.75" customHeight="1">
      <c r="A276" s="11" t="n"/>
      <c r="B276" s="94" t="inlineStr">
        <is>
          <t>37</t>
        </is>
      </c>
      <c r="C276" s="66" t="inlineStr">
        <is>
          <t>Насос дозировочный типа ДП</t>
        </is>
      </c>
      <c r="D276" s="45" t="n"/>
      <c r="E276" s="45" t="n">
        <v>10314</v>
      </c>
      <c r="F276" s="18">
        <f>E276*D276</f>
        <v/>
      </c>
      <c r="G276" s="63" t="n"/>
      <c r="H276" s="11" t="n"/>
    </row>
    <row r="277" ht="15.75" customHeight="1">
      <c r="A277" s="11" t="n"/>
      <c r="B277" s="63" t="inlineStr">
        <is>
          <t>38</t>
        </is>
      </c>
      <c r="C277" s="66" t="inlineStr">
        <is>
          <t>Насос дозировочный типа НД 0,1…40/10...160</t>
        </is>
      </c>
      <c r="D277" s="45" t="n"/>
      <c r="E277" s="18" t="n">
        <v>10314</v>
      </c>
      <c r="F277" s="18">
        <f>E277*D277</f>
        <v/>
      </c>
      <c r="G277" s="63" t="n"/>
      <c r="H277" s="11" t="n"/>
    </row>
    <row r="278" hidden="1" ht="15.75" customHeight="1">
      <c r="A278" s="11" t="n"/>
      <c r="B278" s="94" t="inlineStr">
        <is>
          <t>39</t>
        </is>
      </c>
      <c r="C278" s="66" t="inlineStr">
        <is>
          <t>Насос дозировочный типа НДМ,НДХ (мембранные)</t>
        </is>
      </c>
      <c r="D278" s="45" t="n"/>
      <c r="E278" s="18" t="n">
        <v>15452</v>
      </c>
      <c r="F278" s="18">
        <f>E278*D278</f>
        <v/>
      </c>
      <c r="G278" s="63" t="n"/>
      <c r="H278" s="11" t="n"/>
    </row>
    <row r="279" hidden="1" ht="15.75" customHeight="1">
      <c r="A279" s="11" t="n"/>
      <c r="B279" s="63" t="inlineStr">
        <is>
          <t>40</t>
        </is>
      </c>
      <c r="C279" s="66" t="inlineStr">
        <is>
          <t>Насос дозировочный типа УН1Д-Р</t>
        </is>
      </c>
      <c r="D279" s="45" t="n"/>
      <c r="E279" s="18" t="n">
        <v>15452</v>
      </c>
      <c r="F279" s="18">
        <f>E279*D279</f>
        <v/>
      </c>
      <c r="G279" s="63" t="n"/>
      <c r="H279" s="11" t="n"/>
    </row>
    <row r="280" ht="33" customHeight="1">
      <c r="A280" s="11" t="n"/>
      <c r="B280" s="94" t="inlineStr">
        <is>
          <t>41</t>
        </is>
      </c>
      <c r="C280" s="66" t="inlineStr">
        <is>
          <t>Насос НВ-Мв-50/80; Насос НВ-Мв-Е-50/80; Насос НВ-Мт-50/80; Насос НВ-Мт-Е-50/80; НВД 50/80</t>
        </is>
      </c>
      <c r="D280" s="45" t="n">
        <v>1</v>
      </c>
      <c r="E280" s="18" t="n">
        <v>9624</v>
      </c>
      <c r="F280" s="18">
        <f>E280*D280</f>
        <v/>
      </c>
      <c r="G280" s="63" t="n"/>
      <c r="H280" s="11" t="n"/>
    </row>
    <row r="281" ht="42" customHeight="1">
      <c r="A281" s="11" t="n"/>
      <c r="B281" s="63" t="inlineStr">
        <is>
          <t>42</t>
        </is>
      </c>
      <c r="C281" s="66" t="inlineStr">
        <is>
          <t>Насос НВ-Мн-50/50; Насос НВ-Мн-Е-50/50; Насос НВ-Мт-50/50; Насос НВ-Мт-Е-50/50; НВД 50/50; Насос НВ-50/50; Насос НВ-Е-50/50</t>
        </is>
      </c>
      <c r="D281" s="45" t="n">
        <v>1</v>
      </c>
      <c r="E281" s="18" t="n">
        <v>9624</v>
      </c>
      <c r="F281" s="18">
        <f>E281*D281</f>
        <v/>
      </c>
      <c r="G281" s="63" t="n"/>
      <c r="H281" s="11" t="n"/>
    </row>
    <row r="282" ht="15.75" customHeight="1">
      <c r="A282" s="11" t="n"/>
      <c r="B282" s="94" t="inlineStr">
        <is>
          <t>43</t>
        </is>
      </c>
      <c r="C282" s="66" t="inlineStr">
        <is>
          <t xml:space="preserve">Насос НПВ 1250/60 </t>
        </is>
      </c>
      <c r="D282" s="45" t="n"/>
      <c r="E282" s="18" t="n">
        <v>121726</v>
      </c>
      <c r="F282" s="18">
        <f>E282*D282</f>
        <v/>
      </c>
      <c r="G282" s="63" t="n"/>
      <c r="H282" s="11" t="n"/>
    </row>
    <row r="283" hidden="1" ht="15.75" customHeight="1">
      <c r="A283" s="11" t="n"/>
      <c r="B283" s="63" t="inlineStr">
        <is>
          <t>44</t>
        </is>
      </c>
      <c r="C283" s="66" t="inlineStr">
        <is>
          <t>Насос НЦСГ-Е-5-100-П2,5; НЦСГ-Е-12,5-150 -П2,5; НЦСГ-Е-2-40-П</t>
        </is>
      </c>
      <c r="D283" s="45" t="n"/>
      <c r="E283" s="18" t="n">
        <v>94128</v>
      </c>
      <c r="F283" s="18">
        <f>E283*D283</f>
        <v/>
      </c>
      <c r="G283" s="63" t="n"/>
      <c r="H283" s="11" t="n"/>
    </row>
    <row r="284" hidden="1" ht="15.75" customHeight="1">
      <c r="A284" s="11" t="n"/>
      <c r="B284" s="94" t="inlineStr">
        <is>
          <t>45</t>
        </is>
      </c>
      <c r="C284" s="66" t="inlineStr">
        <is>
          <t>Насос СR 32-3-2</t>
        </is>
      </c>
      <c r="D284" s="45" t="n"/>
      <c r="E284" s="18" t="n">
        <v>9624</v>
      </c>
      <c r="F284" s="18">
        <f>E284*D284</f>
        <v/>
      </c>
      <c r="G284" s="63" t="n"/>
      <c r="H284" s="11" t="n"/>
    </row>
    <row r="285" hidden="1" ht="15.75" customHeight="1">
      <c r="A285" s="11" t="n"/>
      <c r="B285" s="63" t="inlineStr">
        <is>
          <t>46</t>
        </is>
      </c>
      <c r="C285" s="66" t="inlineStr">
        <is>
          <t>Насос типа ЦГ6,3/32-2,2-2; ЦГ 6,3/32-2,2-5; ЦГ 6,3/20-1,1-2; ЦГ 6,3/32-1,1-5</t>
        </is>
      </c>
      <c r="D285" s="45" t="n"/>
      <c r="E285" s="18" t="n">
        <v>17662</v>
      </c>
      <c r="F285" s="18">
        <f>E285*D285</f>
        <v/>
      </c>
      <c r="G285" s="63" t="n"/>
      <c r="H285" s="11" t="n"/>
    </row>
    <row r="286" hidden="1" ht="15.75" customHeight="1">
      <c r="A286" s="11" t="n"/>
      <c r="B286" s="94" t="inlineStr">
        <is>
          <t>47</t>
        </is>
      </c>
      <c r="C286" s="66" t="inlineStr">
        <is>
          <t>Насос ТР 100-820/2</t>
        </is>
      </c>
      <c r="D286" s="45" t="n"/>
      <c r="E286" s="18" t="n">
        <v>20444</v>
      </c>
      <c r="F286" s="18">
        <f>E286*D286</f>
        <v/>
      </c>
      <c r="G286" s="63" t="n"/>
      <c r="H286" s="11" t="n"/>
    </row>
    <row r="287" hidden="1" ht="15.75" customHeight="1">
      <c r="A287" s="11" t="n"/>
      <c r="B287" s="63" t="inlineStr">
        <is>
          <t>48</t>
        </is>
      </c>
      <c r="C287" s="66" t="inlineStr">
        <is>
          <t>Насос ХПЕ 80-50-200</t>
        </is>
      </c>
      <c r="D287" s="45" t="n"/>
      <c r="E287" s="18" t="n">
        <v>20444</v>
      </c>
      <c r="F287" s="18">
        <f>E287*D287</f>
        <v/>
      </c>
      <c r="G287" s="63" t="n"/>
      <c r="H287" s="11" t="n"/>
    </row>
    <row r="288" ht="15.75" customHeight="1">
      <c r="A288" s="11" t="n"/>
      <c r="B288" s="94" t="inlineStr">
        <is>
          <t>49</t>
        </is>
      </c>
      <c r="C288" s="66" t="inlineStr">
        <is>
          <t>Насос ЦНС 105/98…490</t>
        </is>
      </c>
      <c r="D288" s="45" t="n"/>
      <c r="E288" s="18" t="n">
        <v>64822</v>
      </c>
      <c r="F288" s="18">
        <f>E288*D288</f>
        <v/>
      </c>
      <c r="G288" s="63" t="n"/>
      <c r="H288" s="11" t="n"/>
    </row>
    <row r="289" ht="15.75" customHeight="1">
      <c r="A289" s="11" t="n"/>
      <c r="B289" s="63" t="inlineStr">
        <is>
          <t>50</t>
        </is>
      </c>
      <c r="C289" s="66" t="inlineStr">
        <is>
          <t>Насос ЦНС 105/98…490 с торцевым уплотнением</t>
        </is>
      </c>
      <c r="D289" s="45" t="n"/>
      <c r="E289" s="18" t="n">
        <v>64822</v>
      </c>
      <c r="F289" s="18">
        <f>E289*D289</f>
        <v/>
      </c>
      <c r="G289" s="63" t="n"/>
      <c r="H289" s="11" t="n"/>
    </row>
    <row r="290" ht="15.75" customHeight="1">
      <c r="A290" s="11" t="n"/>
      <c r="B290" s="94" t="inlineStr">
        <is>
          <t>51</t>
        </is>
      </c>
      <c r="C290" s="66" t="inlineStr">
        <is>
          <t>Насос ЦНС 100...180/870…2050</t>
        </is>
      </c>
      <c r="D290" s="45" t="n">
        <v>1</v>
      </c>
      <c r="E290" s="18" t="n">
        <v>138589</v>
      </c>
      <c r="F290" s="18">
        <f>E290*D290</f>
        <v/>
      </c>
      <c r="G290" s="63" t="n"/>
      <c r="H290" s="11" t="n"/>
    </row>
    <row r="291" ht="15.75" customHeight="1">
      <c r="A291" s="11" t="n"/>
      <c r="B291" s="63" t="inlineStr">
        <is>
          <t>52</t>
        </is>
      </c>
      <c r="C291" s="66" t="inlineStr">
        <is>
          <t>Насос ЦНС 180/85…425</t>
        </is>
      </c>
      <c r="D291" s="45" t="n"/>
      <c r="E291" s="18" t="n">
        <v>89762</v>
      </c>
      <c r="F291" s="18">
        <f>E291*D291</f>
        <v/>
      </c>
      <c r="G291" s="63" t="n"/>
      <c r="H291" s="11" t="n"/>
    </row>
    <row r="292" ht="15.75" customHeight="1">
      <c r="A292" s="11" t="n"/>
      <c r="B292" s="94" t="inlineStr">
        <is>
          <t>53</t>
        </is>
      </c>
      <c r="C292" s="66" t="inlineStr">
        <is>
          <t>Насос ЦНС 180/85…425 с торцевым уплотнением</t>
        </is>
      </c>
      <c r="D292" s="45" t="n"/>
      <c r="E292" s="18" t="n">
        <v>89762</v>
      </c>
      <c r="F292" s="18">
        <f>E292*D292</f>
        <v/>
      </c>
      <c r="G292" s="63" t="n"/>
      <c r="H292" s="11" t="n"/>
    </row>
    <row r="293" ht="12.75" customHeight="1">
      <c r="A293" s="11" t="n"/>
      <c r="B293" s="63" t="inlineStr">
        <is>
          <t>54</t>
        </is>
      </c>
      <c r="C293" s="66" t="inlineStr">
        <is>
          <t xml:space="preserve">Насос ЦНС 225...280/870...1900 </t>
        </is>
      </c>
      <c r="D293" s="45" t="n">
        <v>2</v>
      </c>
      <c r="E293" s="18" t="n">
        <v>138589</v>
      </c>
      <c r="F293" s="18">
        <f>E293*D293</f>
        <v/>
      </c>
      <c r="G293" s="63" t="n"/>
      <c r="H293" s="11" t="n"/>
    </row>
    <row r="294" ht="15.75" customHeight="1">
      <c r="A294" s="11" t="n"/>
      <c r="B294" s="94" t="inlineStr">
        <is>
          <t>55</t>
        </is>
      </c>
      <c r="C294" s="66" t="inlineStr">
        <is>
          <t>Насос ЦНС 300/120…300</t>
        </is>
      </c>
      <c r="D294" s="45" t="n">
        <v>1</v>
      </c>
      <c r="E294" s="18" t="n">
        <v>138589</v>
      </c>
      <c r="F294" s="18">
        <f>E294*D294</f>
        <v/>
      </c>
      <c r="G294" s="63" t="n"/>
      <c r="H294" s="11" t="n"/>
    </row>
    <row r="295" ht="15.75" customHeight="1">
      <c r="A295" s="11" t="n"/>
      <c r="B295" s="63" t="inlineStr">
        <is>
          <t>56</t>
        </is>
      </c>
      <c r="C295" s="66" t="inlineStr">
        <is>
          <t>Насос ЦНС 300/120…300 с торцевым уплотнением</t>
        </is>
      </c>
      <c r="D295" s="45" t="n"/>
      <c r="E295" s="18" t="n">
        <v>138589</v>
      </c>
      <c r="F295" s="18">
        <f>E295*D295</f>
        <v/>
      </c>
      <c r="G295" s="63" t="n"/>
      <c r="H295" s="11" t="n"/>
    </row>
    <row r="296" ht="15.75" customHeight="1">
      <c r="A296" s="11" t="n"/>
      <c r="B296" s="94" t="inlineStr">
        <is>
          <t>57</t>
        </is>
      </c>
      <c r="C296" s="66" t="inlineStr">
        <is>
          <t>Насос ЦНС 300/360…660</t>
        </is>
      </c>
      <c r="D296" s="45" t="n"/>
      <c r="E296" s="18" t="n">
        <v>138589</v>
      </c>
      <c r="F296" s="18">
        <f>E296*D296</f>
        <v/>
      </c>
      <c r="G296" s="63" t="n"/>
      <c r="H296" s="11" t="n"/>
    </row>
    <row r="297" ht="15.75" customHeight="1">
      <c r="A297" s="11" t="n"/>
      <c r="B297" s="63" t="inlineStr">
        <is>
          <t>58</t>
        </is>
      </c>
      <c r="C297" s="66" t="inlineStr">
        <is>
          <t>Насос ЦНС 300/360…660 с торцевым уплотнением</t>
        </is>
      </c>
      <c r="D297" s="45" t="n"/>
      <c r="E297" s="18" t="n">
        <v>138589</v>
      </c>
      <c r="F297" s="18">
        <f>E297*D297</f>
        <v/>
      </c>
      <c r="G297" s="63" t="n"/>
      <c r="H297" s="11" t="n"/>
    </row>
    <row r="298" ht="12.75" customHeight="1">
      <c r="A298" s="11" t="n"/>
      <c r="B298" s="94" t="inlineStr">
        <is>
          <t>59</t>
        </is>
      </c>
      <c r="C298" s="66" t="inlineStr">
        <is>
          <t>Насос ЦНС 310-1510</t>
        </is>
      </c>
      <c r="D298" s="45" t="n">
        <v>1</v>
      </c>
      <c r="E298" s="18" t="n">
        <v>138589</v>
      </c>
      <c r="F298" s="18">
        <f>E298*D298</f>
        <v/>
      </c>
      <c r="G298" s="63" t="n"/>
      <c r="H298" s="11" t="n"/>
    </row>
    <row r="299" ht="18.75" customHeight="1">
      <c r="A299" s="11" t="n"/>
      <c r="B299" s="63" t="inlineStr">
        <is>
          <t>60</t>
        </is>
      </c>
      <c r="C299" s="52" t="inlineStr">
        <is>
          <t>Насос ЦНС 320-1350</t>
        </is>
      </c>
      <c r="D299" s="45" t="n"/>
      <c r="E299" s="18" t="n">
        <v>138589</v>
      </c>
      <c r="F299" s="18">
        <f>E299*D299</f>
        <v/>
      </c>
      <c r="G299" s="63" t="n"/>
      <c r="H299" s="11" t="n"/>
    </row>
    <row r="300" ht="15.75" customHeight="1">
      <c r="A300" s="11" t="n"/>
      <c r="B300" s="94" t="inlineStr">
        <is>
          <t>61</t>
        </is>
      </c>
      <c r="C300" s="66" t="inlineStr">
        <is>
          <t>Насос ЦНС 350-1650</t>
        </is>
      </c>
      <c r="D300" s="45" t="n"/>
      <c r="E300" s="18" t="n">
        <v>138589</v>
      </c>
      <c r="F300" s="18">
        <f>E300*D300</f>
        <v/>
      </c>
      <c r="G300" s="63" t="n"/>
      <c r="H300" s="11" t="n"/>
    </row>
    <row r="301" ht="15.75" customHeight="1">
      <c r="A301" s="11" t="n"/>
      <c r="B301" s="63" t="inlineStr">
        <is>
          <t>62</t>
        </is>
      </c>
      <c r="C301" s="50" t="inlineStr">
        <is>
          <t>Насос ЦНС 40/1400</t>
        </is>
      </c>
      <c r="D301" s="45" t="n"/>
      <c r="E301" s="18" t="n">
        <v>138589</v>
      </c>
      <c r="F301" s="18">
        <f>E301*D301</f>
        <v/>
      </c>
      <c r="G301" s="63" t="n"/>
      <c r="H301" s="11" t="n"/>
    </row>
    <row r="302" ht="15.75" customHeight="1">
      <c r="A302" s="11" t="n"/>
      <c r="B302" s="94" t="inlineStr">
        <is>
          <t>63</t>
        </is>
      </c>
      <c r="C302" s="50" t="inlineStr">
        <is>
          <t>Насос ЦНС-13/70…350</t>
        </is>
      </c>
      <c r="D302" s="45" t="n"/>
      <c r="E302" s="18" t="n">
        <v>54147</v>
      </c>
      <c r="F302" s="18">
        <f>E302*D302</f>
        <v/>
      </c>
      <c r="G302" s="63" t="n"/>
      <c r="H302" s="11" t="n"/>
    </row>
    <row r="303" ht="15.75" customHeight="1">
      <c r="A303" s="11" t="n"/>
      <c r="B303" s="63" t="inlineStr">
        <is>
          <t>64</t>
        </is>
      </c>
      <c r="C303" s="50" t="inlineStr">
        <is>
          <t>Насос ЦНС-13/70…350 с торцевым уплотнением</t>
        </is>
      </c>
      <c r="D303" s="45" t="n"/>
      <c r="E303" s="18" t="n">
        <v>54147</v>
      </c>
      <c r="F303" s="18">
        <f>E303*D303</f>
        <v/>
      </c>
      <c r="G303" s="63" t="n"/>
      <c r="H303" s="11" t="n"/>
    </row>
    <row r="304" ht="15.75" customHeight="1">
      <c r="A304" s="11" t="n"/>
      <c r="B304" s="94" t="inlineStr">
        <is>
          <t>65</t>
        </is>
      </c>
      <c r="C304" s="66" t="inlineStr">
        <is>
          <t>Насос ЦНС-38/44…220</t>
        </is>
      </c>
      <c r="D304" s="87" t="n"/>
      <c r="E304" s="87" t="n">
        <v>54147</v>
      </c>
      <c r="F304" s="18">
        <f>E304*D304</f>
        <v/>
      </c>
      <c r="G304" s="63" t="n"/>
      <c r="H304" s="11" t="n"/>
    </row>
    <row r="305" ht="15.75" customHeight="1">
      <c r="A305" s="11" t="n"/>
      <c r="B305" s="63" t="inlineStr">
        <is>
          <t>66</t>
        </is>
      </c>
      <c r="C305" s="66" t="inlineStr">
        <is>
          <t>Насос ЦНС-38/44…220 с торцевым уплотнением</t>
        </is>
      </c>
      <c r="D305" s="45" t="n">
        <v>1</v>
      </c>
      <c r="E305" s="45" t="n">
        <v>54147</v>
      </c>
      <c r="F305" s="18">
        <f>E305*D305</f>
        <v/>
      </c>
      <c r="G305" s="63" t="n"/>
      <c r="H305" s="11" t="n"/>
    </row>
    <row r="306" ht="15.75" customHeight="1">
      <c r="A306" s="11" t="n"/>
      <c r="B306" s="94" t="inlineStr">
        <is>
          <t>67</t>
        </is>
      </c>
      <c r="C306" s="66" t="inlineStr">
        <is>
          <t>Насос ЦНС-60/66…330</t>
        </is>
      </c>
      <c r="D306" s="45" t="n"/>
      <c r="E306" s="45" t="n">
        <v>54147</v>
      </c>
      <c r="F306" s="18">
        <f>E306*D306</f>
        <v/>
      </c>
      <c r="G306" s="63" t="n"/>
      <c r="H306" s="11" t="n"/>
    </row>
    <row r="307" ht="15.75" customHeight="1">
      <c r="A307" s="11" t="n"/>
      <c r="B307" s="63" t="inlineStr">
        <is>
          <t>68</t>
        </is>
      </c>
      <c r="C307" s="100" t="inlineStr">
        <is>
          <t>Насос ЦНС-60/66…330 с торцевым уплотнением</t>
        </is>
      </c>
      <c r="D307" s="45" t="n">
        <v>1</v>
      </c>
      <c r="E307" s="45" t="n">
        <v>54147</v>
      </c>
      <c r="F307" s="18">
        <f>E307*D307</f>
        <v/>
      </c>
      <c r="G307" s="63" t="n"/>
      <c r="H307" s="11" t="n"/>
    </row>
    <row r="308" ht="15.75" customHeight="1">
      <c r="A308" s="11" t="n"/>
      <c r="B308" s="94" t="inlineStr">
        <is>
          <t>69</t>
        </is>
      </c>
      <c r="C308" s="66" t="inlineStr">
        <is>
          <t xml:space="preserve">Насос ЦНС-63/1000...1900 </t>
        </is>
      </c>
      <c r="D308" s="45" t="n"/>
      <c r="E308" s="45" t="n">
        <v>138589</v>
      </c>
      <c r="F308" s="18">
        <f>E308*D308</f>
        <v/>
      </c>
      <c r="G308" s="63" t="n"/>
      <c r="H308" s="11" t="n"/>
    </row>
    <row r="309" ht="15.75" customHeight="1">
      <c r="A309" s="11" t="n"/>
      <c r="B309" s="63" t="inlineStr">
        <is>
          <t>70</t>
        </is>
      </c>
      <c r="C309" s="66" t="inlineStr">
        <is>
          <t xml:space="preserve">Насос ЦНС-90/1100...1900 </t>
        </is>
      </c>
      <c r="D309" s="45" t="n"/>
      <c r="E309" s="18" t="n">
        <v>138589</v>
      </c>
      <c r="F309" s="18">
        <f>E309*D309</f>
        <v/>
      </c>
      <c r="G309" s="63" t="n"/>
      <c r="H309" s="11" t="n"/>
    </row>
    <row r="310" ht="46.5" customHeight="1">
      <c r="A310" s="11" t="n"/>
      <c r="B310" s="94" t="inlineStr">
        <is>
          <t>71</t>
        </is>
      </c>
      <c r="C310" s="66" t="inlineStr">
        <is>
          <t>Насос шестеренный типа НМШ5-25-4,0/4; НМШ5-25-4,0/10; НМШ5-25-4,0/25; НМШ8-25-6,3/2,5; НМШ8-25-6,3/10; НМШ8-25-6,3/25, НШ 5/25</t>
        </is>
      </c>
      <c r="D310" s="45" t="n"/>
      <c r="E310" s="18" t="n">
        <v>10124</v>
      </c>
      <c r="F310" s="18">
        <f>E310*D310</f>
        <v/>
      </c>
      <c r="G310" s="63" t="n"/>
      <c r="H310" s="11" t="n"/>
    </row>
    <row r="311" hidden="1" ht="15.75" customHeight="1">
      <c r="A311" s="11" t="n"/>
      <c r="B311" s="63" t="inlineStr">
        <is>
          <t>72</t>
        </is>
      </c>
      <c r="C311" s="66" t="inlineStr">
        <is>
          <t>Поршневой компрессор К2</t>
        </is>
      </c>
      <c r="D311" s="64" t="n"/>
      <c r="E311" s="26" t="n">
        <v>34874</v>
      </c>
      <c r="F311" s="26">
        <f>E311*D311</f>
        <v/>
      </c>
      <c r="G311" s="63" t="n"/>
      <c r="H311" s="11" t="n"/>
    </row>
    <row r="312" ht="13.5" customHeight="1">
      <c r="A312" s="11" t="n"/>
      <c r="B312" s="85" t="inlineStr">
        <is>
          <t>ИТОГО:</t>
        </is>
      </c>
      <c r="D312" s="63" t="n"/>
      <c r="E312" s="63" t="n"/>
      <c r="F312" s="26">
        <f>SUM(F240:F311)</f>
        <v/>
      </c>
      <c r="G312" s="63" t="n"/>
      <c r="H312" s="11" t="n"/>
    </row>
    <row r="313" ht="18.75" customHeight="1">
      <c r="A313" s="11" t="n"/>
      <c r="B313" s="99" t="inlineStr">
        <is>
          <t>ПУСКО-НАЛАДОЧНЫЕ РАБОТЫ</t>
        </is>
      </c>
      <c r="D313" s="63" t="n"/>
      <c r="E313" s="63" t="n"/>
      <c r="F313" s="94" t="n"/>
      <c r="G313" s="63" t="n"/>
      <c r="H313" s="11" t="n"/>
    </row>
    <row r="314" hidden="1" ht="27" customHeight="1">
      <c r="A314" s="11" t="n"/>
      <c r="B314" s="94" t="inlineStr">
        <is>
          <t>1</t>
        </is>
      </c>
      <c r="C314" s="66" t="inlineStr">
        <is>
          <t>Агрегат турбокомпрессорный ТКА-Ц-12/0,4-6,1М1 без двигателя</t>
        </is>
      </c>
      <c r="D314" s="63" t="n"/>
      <c r="E314" s="63" t="n">
        <v>2077155</v>
      </c>
      <c r="F314" s="26">
        <f>E314*D314</f>
        <v/>
      </c>
      <c r="G314" s="63" t="n"/>
      <c r="H314" s="11" t="n"/>
    </row>
    <row r="315" hidden="1" ht="15.75" customHeight="1">
      <c r="A315" s="11" t="n"/>
      <c r="B315" s="63" t="inlineStr">
        <is>
          <t>2</t>
        </is>
      </c>
      <c r="C315" s="66" t="inlineStr">
        <is>
          <t>БНСП 1400-900</t>
        </is>
      </c>
      <c r="D315" s="64" t="n"/>
      <c r="E315" s="64" t="n">
        <v>123197</v>
      </c>
      <c r="F315" s="26">
        <f>E315*D315</f>
        <v/>
      </c>
      <c r="G315" s="63" t="n"/>
      <c r="H315" s="11" t="n"/>
    </row>
    <row r="316" hidden="1" ht="15.75" customHeight="1">
      <c r="A316" s="11" t="n"/>
      <c r="B316" s="94" t="inlineStr">
        <is>
          <t>3</t>
        </is>
      </c>
      <c r="C316" s="66" t="inlineStr">
        <is>
          <t>ГНС 700</t>
        </is>
      </c>
      <c r="D316" s="64" t="n"/>
      <c r="E316" s="64" t="n">
        <v>123197</v>
      </c>
      <c r="F316" s="26">
        <f>E316*D316</f>
        <v/>
      </c>
      <c r="G316" s="63" t="n"/>
      <c r="H316" s="11" t="n"/>
    </row>
    <row r="317" hidden="1" ht="15.75" customHeight="1">
      <c r="A317" s="11" t="n"/>
      <c r="B317" s="63" t="inlineStr">
        <is>
          <t>4</t>
        </is>
      </c>
      <c r="C317" s="100" t="inlineStr">
        <is>
          <t>ГНС S 100 N</t>
        </is>
      </c>
      <c r="D317" s="64" t="n"/>
      <c r="E317" s="64" t="n">
        <v>123197</v>
      </c>
      <c r="F317" s="26">
        <f>E317*D317</f>
        <v/>
      </c>
      <c r="G317" s="63" t="n"/>
      <c r="H317" s="11" t="n"/>
    </row>
    <row r="318" hidden="1" ht="15.75" customHeight="1">
      <c r="A318" s="11" t="n"/>
      <c r="B318" s="94" t="inlineStr">
        <is>
          <t>5</t>
        </is>
      </c>
      <c r="C318" s="66" t="inlineStr">
        <is>
          <t>ГНС S 175 N</t>
        </is>
      </c>
      <c r="D318" s="64" t="n"/>
      <c r="E318" s="64" t="n">
        <v>123197</v>
      </c>
      <c r="F318" s="26">
        <f>E318*D318</f>
        <v/>
      </c>
      <c r="G318" s="63" t="n"/>
      <c r="H318" s="11" t="n"/>
    </row>
    <row r="319" hidden="1" ht="15.75" customHeight="1">
      <c r="A319" s="11" t="n"/>
      <c r="B319" s="63" t="inlineStr">
        <is>
          <t>6</t>
        </is>
      </c>
      <c r="C319" s="66" t="inlineStr">
        <is>
          <t>ГНУ 3000/1900</t>
        </is>
      </c>
      <c r="D319" s="64" t="n"/>
      <c r="E319" s="26" t="n">
        <v>123197</v>
      </c>
      <c r="F319" s="26">
        <f>E319*D319</f>
        <v/>
      </c>
      <c r="G319" s="63" t="n"/>
      <c r="H319" s="11" t="n"/>
    </row>
    <row r="320" hidden="1" ht="15.75" customHeight="1">
      <c r="A320" s="11" t="n"/>
      <c r="B320" s="94" t="inlineStr">
        <is>
          <t>7</t>
        </is>
      </c>
      <c r="C320" s="66" t="inlineStr">
        <is>
          <t>Насос плунжерный КАМАТ тип К</t>
        </is>
      </c>
      <c r="D320" s="64" t="n"/>
      <c r="E320" s="26" t="n">
        <v>123197</v>
      </c>
      <c r="F320" s="26">
        <f>E320*D320</f>
        <v/>
      </c>
      <c r="G320" s="63" t="n"/>
      <c r="H320" s="11" t="n"/>
    </row>
    <row r="321" hidden="1" ht="15.75" customHeight="1">
      <c r="A321" s="11" t="n"/>
      <c r="B321" s="63" t="inlineStr">
        <is>
          <t>8</t>
        </is>
      </c>
      <c r="C321" s="66" t="inlineStr">
        <is>
          <t>Компрессор 2НВ2КТ/126/330</t>
        </is>
      </c>
      <c r="D321" s="64" t="n"/>
      <c r="E321" s="26" t="n">
        <v>33434</v>
      </c>
      <c r="F321" s="26">
        <f>E321*D321</f>
        <v/>
      </c>
      <c r="G321" s="63" t="n"/>
      <c r="H321" s="11" t="n"/>
    </row>
    <row r="322" hidden="1" ht="15.75" customHeight="1">
      <c r="A322" s="11" t="n"/>
      <c r="B322" s="94" t="inlineStr">
        <is>
          <t>9</t>
        </is>
      </c>
      <c r="C322" s="66" t="inlineStr">
        <is>
          <t>Компрессор 4ВУ1-5/9</t>
        </is>
      </c>
      <c r="D322" s="64" t="n"/>
      <c r="E322" s="26" t="n">
        <v>30858</v>
      </c>
      <c r="F322" s="26">
        <f>E322*D322</f>
        <v/>
      </c>
      <c r="G322" s="63" t="n"/>
      <c r="H322" s="11" t="n"/>
    </row>
    <row r="323" hidden="1" ht="15.75" customHeight="1">
      <c r="A323" s="11" t="n"/>
      <c r="B323" s="63" t="inlineStr">
        <is>
          <t>10</t>
        </is>
      </c>
      <c r="C323" s="66" t="inlineStr">
        <is>
          <t>Компрессор A2YI-52-16-8, К-10А2У1-52-16</t>
        </is>
      </c>
      <c r="D323" s="64" t="n"/>
      <c r="E323" s="26" t="n">
        <v>29284</v>
      </c>
      <c r="F323" s="26">
        <f>E323*D323</f>
        <v/>
      </c>
      <c r="G323" s="63" t="n"/>
      <c r="H323" s="11" t="n"/>
    </row>
    <row r="324" hidden="1" ht="15.75" customHeight="1">
      <c r="A324" s="11" t="n"/>
      <c r="B324" s="94" t="inlineStr">
        <is>
          <t>11</t>
        </is>
      </c>
      <c r="C324" s="66" t="inlineStr">
        <is>
          <t>Компрессор воздушный Atlas Copco ZT90VSD</t>
        </is>
      </c>
      <c r="D324" s="64" t="n"/>
      <c r="E324" s="26" t="n">
        <v>93114</v>
      </c>
      <c r="F324" s="26">
        <f>E324*D324</f>
        <v/>
      </c>
      <c r="G324" s="63" t="n"/>
      <c r="H324" s="11" t="n"/>
    </row>
    <row r="325" hidden="1" ht="15.75" customHeight="1">
      <c r="A325" s="11" t="n"/>
      <c r="B325" s="63" t="inlineStr">
        <is>
          <t>12</t>
        </is>
      </c>
      <c r="C325" s="66" t="inlineStr">
        <is>
          <t>Компрессор ТАКАТ 11.05;  Борец 1С2ГП;  EGSI-S-150/200 WA</t>
        </is>
      </c>
      <c r="D325" s="64" t="n"/>
      <c r="E325" s="26" t="n">
        <v>56942</v>
      </c>
      <c r="F325" s="26">
        <f>E325*D325</f>
        <v/>
      </c>
      <c r="G325" s="63" t="n"/>
      <c r="H325" s="11" t="n"/>
    </row>
    <row r="326" ht="15.75" customHeight="1">
      <c r="A326" s="11" t="n"/>
      <c r="B326" s="94" t="inlineStr">
        <is>
          <t>13</t>
        </is>
      </c>
      <c r="C326" s="66" t="inlineStr">
        <is>
          <t>Насос Д160-112Б</t>
        </is>
      </c>
      <c r="D326" s="64" t="n"/>
      <c r="E326" s="26" t="n">
        <v>25274</v>
      </c>
      <c r="F326" s="26">
        <f>E326*D326</f>
        <v/>
      </c>
      <c r="G326" s="63" t="n"/>
      <c r="H326" s="11" t="n"/>
    </row>
    <row r="327" ht="15.75" customHeight="1">
      <c r="A327" s="11" t="n"/>
      <c r="B327" s="63" t="inlineStr">
        <is>
          <t>14</t>
        </is>
      </c>
      <c r="C327" s="66" t="inlineStr">
        <is>
          <t>Насос 1 Д200-90</t>
        </is>
      </c>
      <c r="D327" s="64" t="n">
        <v>2</v>
      </c>
      <c r="E327" s="26" t="n">
        <v>25274</v>
      </c>
      <c r="F327" s="26">
        <f>E327*D327</f>
        <v/>
      </c>
      <c r="G327" s="63" t="n"/>
      <c r="H327" s="11" t="n"/>
    </row>
    <row r="328" ht="15.75" customHeight="1">
      <c r="A328" s="11" t="n"/>
      <c r="B328" s="94" t="inlineStr">
        <is>
          <t>15</t>
        </is>
      </c>
      <c r="C328" s="66" t="inlineStr">
        <is>
          <t>Насос 1 Д250-125</t>
        </is>
      </c>
      <c r="D328" s="64" t="n"/>
      <c r="E328" s="26" t="n">
        <v>25274</v>
      </c>
      <c r="F328" s="26">
        <f>E328*D328</f>
        <v/>
      </c>
      <c r="G328" s="63" t="n"/>
      <c r="H328" s="11" t="n"/>
    </row>
    <row r="329" ht="15.75" customHeight="1">
      <c r="A329" s="11" t="n"/>
      <c r="B329" s="63" t="inlineStr">
        <is>
          <t>16</t>
        </is>
      </c>
      <c r="C329" s="66" t="inlineStr">
        <is>
          <t>Насос 1 Д315-50...71</t>
        </is>
      </c>
      <c r="D329" s="64" t="n"/>
      <c r="E329" s="26" t="n">
        <v>25274</v>
      </c>
      <c r="F329" s="26">
        <f>E329*D329</f>
        <v/>
      </c>
      <c r="G329" s="63" t="n"/>
      <c r="H329" s="11" t="n"/>
    </row>
    <row r="330" ht="15.75" customHeight="1">
      <c r="A330" s="11" t="n"/>
      <c r="B330" s="94" t="inlineStr">
        <is>
          <t>17</t>
        </is>
      </c>
      <c r="C330" s="66" t="inlineStr">
        <is>
          <t>Насос 1 Д500-63</t>
        </is>
      </c>
      <c r="D330" s="64" t="n"/>
      <c r="E330" s="26" t="n">
        <v>25274</v>
      </c>
      <c r="F330" s="26">
        <f>E330*D330</f>
        <v/>
      </c>
      <c r="G330" s="63" t="n"/>
      <c r="H330" s="11" t="n"/>
    </row>
    <row r="331" ht="15.75" customHeight="1">
      <c r="A331" s="11" t="n"/>
      <c r="B331" s="63" t="inlineStr">
        <is>
          <t>18</t>
        </is>
      </c>
      <c r="C331" s="52" t="inlineStr">
        <is>
          <t>Насос 1 Д630-90...125</t>
        </is>
      </c>
      <c r="D331" s="45" t="n"/>
      <c r="E331" s="18" t="n">
        <v>28785</v>
      </c>
      <c r="F331" s="18">
        <f>E331*D331</f>
        <v/>
      </c>
      <c r="G331" s="63" t="n"/>
      <c r="H331" s="11" t="n"/>
    </row>
    <row r="332" ht="12.75" customHeight="1">
      <c r="A332" s="11" t="n"/>
      <c r="B332" s="94" t="inlineStr">
        <is>
          <t>19</t>
        </is>
      </c>
      <c r="C332" s="52" t="inlineStr">
        <is>
          <t>Насос 1 Д1250-63…125</t>
        </is>
      </c>
      <c r="D332" s="45" t="n"/>
      <c r="E332" s="18" t="n">
        <v>28785</v>
      </c>
      <c r="F332" s="18">
        <f>E332*D332</f>
        <v/>
      </c>
      <c r="G332" s="63" t="n"/>
      <c r="H332" s="11" t="n"/>
    </row>
    <row r="333" ht="15.75" customHeight="1">
      <c r="A333" s="11" t="n"/>
      <c r="B333" s="63" t="inlineStr">
        <is>
          <t>20</t>
        </is>
      </c>
      <c r="C333" s="52" t="inlineStr">
        <is>
          <t>Насос 12НА-9х4</t>
        </is>
      </c>
      <c r="D333" s="45" t="n"/>
      <c r="E333" s="18" t="n">
        <v>30268</v>
      </c>
      <c r="F333" s="18">
        <f>E333*D333</f>
        <v/>
      </c>
      <c r="G333" s="63" t="n"/>
      <c r="H333" s="11" t="n"/>
    </row>
    <row r="334" hidden="1" ht="15.75" customHeight="1">
      <c r="A334" s="11" t="n"/>
      <c r="B334" s="94" t="inlineStr">
        <is>
          <t>21</t>
        </is>
      </c>
      <c r="C334" s="52" t="inlineStr">
        <is>
          <t>Насос 1АСВН-80АМ(С)/6</t>
        </is>
      </c>
      <c r="D334" s="45" t="n"/>
      <c r="E334" s="18" t="n">
        <v>30268</v>
      </c>
      <c r="F334" s="18">
        <f>E334*D334</f>
        <v/>
      </c>
      <c r="G334" s="63" t="n"/>
      <c r="H334" s="11" t="n"/>
    </row>
    <row r="335" ht="15.75" customHeight="1">
      <c r="A335" s="11" t="n"/>
      <c r="B335" s="63" t="inlineStr">
        <is>
          <t>22</t>
        </is>
      </c>
      <c r="C335" s="52" t="inlineStr">
        <is>
          <t>Насос 20А-18-1-11</t>
        </is>
      </c>
      <c r="D335" s="45" t="n"/>
      <c r="E335" s="18" t="n">
        <v>36111</v>
      </c>
      <c r="F335" s="18">
        <f>E335*D335</f>
        <v/>
      </c>
      <c r="G335" s="63" t="n"/>
      <c r="H335" s="11" t="n"/>
    </row>
    <row r="336" ht="15.75" customHeight="1">
      <c r="A336" s="11" t="n"/>
      <c r="B336" s="94" t="inlineStr">
        <is>
          <t>23</t>
        </is>
      </c>
      <c r="C336" s="52" t="inlineStr">
        <is>
          <t>Насос BUL 6,3/64</t>
        </is>
      </c>
      <c r="D336" s="45" t="n"/>
      <c r="E336" s="18" t="n">
        <v>13771</v>
      </c>
      <c r="F336" s="18">
        <f>E336*D336</f>
        <v/>
      </c>
      <c r="G336" s="63" t="n"/>
      <c r="H336" s="11" t="n"/>
    </row>
    <row r="337" hidden="1" ht="15.75" customHeight="1">
      <c r="A337" s="11" t="n"/>
      <c r="B337" s="63" t="inlineStr">
        <is>
          <t>24</t>
        </is>
      </c>
      <c r="C337" s="52" t="inlineStr">
        <is>
          <t>Насос CR15-02</t>
        </is>
      </c>
      <c r="D337" s="45" t="n"/>
      <c r="E337" s="18" t="n">
        <v>12915</v>
      </c>
      <c r="F337" s="18">
        <f>E337*D337</f>
        <v/>
      </c>
      <c r="G337" s="63" t="n"/>
      <c r="H337" s="11" t="n"/>
    </row>
    <row r="338" hidden="1" ht="15.75" customHeight="1">
      <c r="A338" s="11" t="n"/>
      <c r="B338" s="94" t="inlineStr">
        <is>
          <t>25</t>
        </is>
      </c>
      <c r="C338" s="52" t="inlineStr">
        <is>
          <t>Насос CRE20-01</t>
        </is>
      </c>
      <c r="D338" s="45" t="n"/>
      <c r="E338" s="18" t="n">
        <v>12915</v>
      </c>
      <c r="F338" s="18">
        <f>E338*D338</f>
        <v/>
      </c>
      <c r="G338" s="63" t="n"/>
      <c r="H338" s="11" t="n"/>
    </row>
    <row r="339" hidden="1" ht="15.75" customHeight="1">
      <c r="A339" s="11" t="n"/>
      <c r="B339" s="63" t="inlineStr">
        <is>
          <t>26</t>
        </is>
      </c>
      <c r="C339" s="52" t="inlineStr">
        <is>
          <t>Насос KRGH 40/315; KRGH 80/315, KRGH 200/500</t>
        </is>
      </c>
      <c r="D339" s="45" t="n"/>
      <c r="E339" s="18" t="n">
        <v>37705</v>
      </c>
      <c r="F339" s="18">
        <f>E339*D339</f>
        <v/>
      </c>
      <c r="G339" s="63" t="n"/>
      <c r="H339" s="11" t="n"/>
    </row>
    <row r="340" hidden="1" ht="15.75" customHeight="1">
      <c r="A340" s="11" t="n"/>
      <c r="B340" s="94" t="inlineStr">
        <is>
          <t>27</t>
        </is>
      </c>
      <c r="C340" s="52" t="inlineStr">
        <is>
          <t xml:space="preserve">Насос NF50BP </t>
        </is>
      </c>
      <c r="D340" s="45" t="n"/>
      <c r="E340" s="18" t="n">
        <v>37705</v>
      </c>
      <c r="F340" s="18">
        <f>E340*D340</f>
        <v/>
      </c>
      <c r="G340" s="63" t="n"/>
      <c r="H340" s="11" t="n"/>
    </row>
    <row r="341" hidden="1" ht="15.75" customHeight="1">
      <c r="A341" s="11" t="n"/>
      <c r="B341" s="63" t="inlineStr">
        <is>
          <t>28</t>
        </is>
      </c>
      <c r="C341" s="52" t="inlineStr">
        <is>
          <t>Насос NM038BT02S12B</t>
        </is>
      </c>
      <c r="D341" s="45" t="n"/>
      <c r="E341" s="18" t="n">
        <v>37705</v>
      </c>
      <c r="F341" s="18">
        <f>E341*D341</f>
        <v/>
      </c>
      <c r="G341" s="63" t="n"/>
      <c r="H341" s="11" t="n"/>
    </row>
    <row r="342" hidden="1" ht="15.75" customHeight="1">
      <c r="A342" s="11" t="n"/>
      <c r="B342" s="94" t="inlineStr">
        <is>
          <t>29</t>
        </is>
      </c>
      <c r="C342" s="52" t="inlineStr">
        <is>
          <t>Насос PIAX 32/28</t>
        </is>
      </c>
      <c r="D342" s="45" t="n"/>
      <c r="E342" s="18" t="n">
        <v>13771</v>
      </c>
      <c r="F342" s="18">
        <f>E342*D342</f>
        <v/>
      </c>
      <c r="G342" s="63" t="n"/>
      <c r="H342" s="11" t="n"/>
    </row>
    <row r="343" hidden="1" ht="15.75" customHeight="1">
      <c r="A343" s="11" t="n"/>
      <c r="B343" s="63" t="inlineStr">
        <is>
          <t>30</t>
        </is>
      </c>
      <c r="C343" s="77" t="inlineStr">
        <is>
          <t>Насос PKG100L50H17 2/9C5VV3Z</t>
        </is>
      </c>
      <c r="D343" s="45" t="n"/>
      <c r="E343" s="18" t="n">
        <v>37712</v>
      </c>
      <c r="F343" s="18">
        <f>E343*D343</f>
        <v/>
      </c>
      <c r="G343" s="63" t="n"/>
      <c r="H343" s="11" t="n"/>
    </row>
    <row r="344" hidden="1" ht="15.75" customHeight="1">
      <c r="A344" s="11" t="n"/>
      <c r="B344" s="94" t="inlineStr">
        <is>
          <t>31</t>
        </is>
      </c>
      <c r="C344" s="77" t="inlineStr">
        <is>
          <t>Насос SEG 40.12.2/1.502</t>
        </is>
      </c>
      <c r="D344" s="45" t="n"/>
      <c r="E344" s="18" t="n">
        <v>37712</v>
      </c>
      <c r="F344" s="18">
        <f>E344*D344</f>
        <v/>
      </c>
      <c r="G344" s="63" t="n"/>
      <c r="H344" s="11" t="n"/>
    </row>
    <row r="345" ht="15.75" customHeight="1">
      <c r="A345" s="11" t="n"/>
      <c r="B345" s="63" t="inlineStr">
        <is>
          <t>32</t>
        </is>
      </c>
      <c r="C345" s="77" t="inlineStr">
        <is>
          <t>Насос АХП 45/31, АХП 50-32-200…80-65-160</t>
        </is>
      </c>
      <c r="D345" s="45" t="n"/>
      <c r="E345" s="18" t="n">
        <v>37712</v>
      </c>
      <c r="F345" s="18">
        <f>E345*D345</f>
        <v/>
      </c>
      <c r="G345" s="63" t="n"/>
      <c r="H345" s="11" t="n"/>
    </row>
    <row r="346" ht="15.75" customHeight="1">
      <c r="A346" s="11" t="n"/>
      <c r="B346" s="94" t="inlineStr">
        <is>
          <t>33</t>
        </is>
      </c>
      <c r="C346" s="52" t="inlineStr">
        <is>
          <t>Насос ВКС 2/26</t>
        </is>
      </c>
      <c r="D346" s="87" t="n"/>
      <c r="E346" s="87" t="n">
        <v>10331</v>
      </c>
      <c r="F346" s="18">
        <f>E346*D346</f>
        <v/>
      </c>
      <c r="G346" s="63" t="n"/>
      <c r="H346" s="11" t="n"/>
    </row>
    <row r="347" ht="25.5" customHeight="1">
      <c r="A347" s="11" t="n"/>
      <c r="B347" s="63" t="inlineStr">
        <is>
          <t>34</t>
        </is>
      </c>
      <c r="C347" s="52" t="inlineStr">
        <is>
          <t>Насос ВНД 80/43; ВНД 50/350, ВНД 50/100, ВНД 6,3/12,5</t>
        </is>
      </c>
      <c r="D347" s="45" t="n"/>
      <c r="E347" s="45" t="n">
        <v>10307</v>
      </c>
      <c r="F347" s="18">
        <f>E347*D347</f>
        <v/>
      </c>
      <c r="G347" s="63" t="n"/>
      <c r="H347" s="11" t="n"/>
    </row>
    <row r="348" ht="26.25" customHeight="1">
      <c r="A348" s="11" t="n"/>
      <c r="B348" s="94" t="inlineStr">
        <is>
          <t>35</t>
        </is>
      </c>
      <c r="C348" s="52" t="inlineStr">
        <is>
          <t>Насос горизонтальный консольный типа К80-65-160…100-65-250</t>
        </is>
      </c>
      <c r="D348" s="45" t="n"/>
      <c r="E348" s="45" t="n">
        <v>7791</v>
      </c>
      <c r="F348" s="18">
        <f>E348*D348</f>
        <v/>
      </c>
      <c r="G348" s="63" t="n"/>
      <c r="H348" s="11" t="n"/>
    </row>
    <row r="349" hidden="1" ht="15.75" customHeight="1">
      <c r="A349" s="11" t="n"/>
      <c r="B349" s="63" t="inlineStr">
        <is>
          <t>36</t>
        </is>
      </c>
      <c r="C349" s="46" t="inlineStr">
        <is>
          <t>Насос ГХИ 6,3/32</t>
        </is>
      </c>
      <c r="D349" s="45" t="n"/>
      <c r="E349" s="45" t="n">
        <v>10307</v>
      </c>
      <c r="F349" s="18">
        <f>E349*D349</f>
        <v/>
      </c>
      <c r="G349" s="63" t="n"/>
      <c r="H349" s="11" t="n"/>
    </row>
    <row r="350" ht="15.75" customHeight="1">
      <c r="A350" s="11" t="n"/>
      <c r="B350" s="94" t="inlineStr">
        <is>
          <t>37</t>
        </is>
      </c>
      <c r="C350" s="52" t="inlineStr">
        <is>
          <t>Насос дозировочный типа ДП</t>
        </is>
      </c>
      <c r="D350" s="45" t="n"/>
      <c r="E350" s="45" t="n">
        <v>23117</v>
      </c>
      <c r="F350" s="18">
        <f>E350*D350</f>
        <v/>
      </c>
      <c r="G350" s="63" t="n"/>
      <c r="H350" s="11" t="n"/>
    </row>
    <row r="351" ht="15.75" customHeight="1">
      <c r="A351" s="11" t="n"/>
      <c r="B351" s="63" t="inlineStr">
        <is>
          <t>38</t>
        </is>
      </c>
      <c r="C351" s="52" t="inlineStr">
        <is>
          <t>Насос дозировочный типа НД 0,1…40/10...160</t>
        </is>
      </c>
      <c r="D351" s="45" t="n"/>
      <c r="E351" s="18" t="n">
        <v>23117</v>
      </c>
      <c r="F351" s="18">
        <f>E351*D351</f>
        <v/>
      </c>
      <c r="G351" s="63" t="n"/>
      <c r="H351" s="11" t="n"/>
    </row>
    <row r="352" hidden="1" ht="15.75" customHeight="1">
      <c r="A352" s="11" t="n"/>
      <c r="B352" s="94" t="inlineStr">
        <is>
          <t>39</t>
        </is>
      </c>
      <c r="C352" s="52" t="inlineStr">
        <is>
          <t>Насос дозировочный типа НДМ,НДХ (мембранные)</t>
        </is>
      </c>
      <c r="D352" s="45" t="n"/>
      <c r="E352" s="18" t="n">
        <v>26676</v>
      </c>
      <c r="F352" s="18">
        <f>E352*D352</f>
        <v/>
      </c>
      <c r="G352" s="63" t="n"/>
      <c r="H352" s="11" t="n"/>
    </row>
    <row r="353" hidden="1" ht="15.75" customHeight="1">
      <c r="A353" s="11" t="n"/>
      <c r="B353" s="63" t="inlineStr">
        <is>
          <t>40</t>
        </is>
      </c>
      <c r="C353" s="52" t="inlineStr">
        <is>
          <t>Насос дозировочный типа УН1Д-Р</t>
        </is>
      </c>
      <c r="D353" s="45" t="n"/>
      <c r="E353" s="18" t="n">
        <v>26676</v>
      </c>
      <c r="F353" s="18">
        <f>E353*D353</f>
        <v/>
      </c>
      <c r="G353" s="63" t="n"/>
      <c r="H353" s="11" t="n"/>
    </row>
    <row r="354" ht="32.25" customHeight="1">
      <c r="A354" s="11" t="n"/>
      <c r="B354" s="94" t="inlineStr">
        <is>
          <t>41</t>
        </is>
      </c>
      <c r="C354" s="52" t="inlineStr">
        <is>
          <t>Насос НВ-Мв-50/80; Насос НВ-Мв-Е-50/80; Насос НВ-Мт-50/80; Насос НВ-Мт-Е-50/80; НВД 50/80</t>
        </is>
      </c>
      <c r="D354" s="45" t="n">
        <v>1</v>
      </c>
      <c r="E354" s="18" t="n">
        <v>10307</v>
      </c>
      <c r="F354" s="18">
        <f>E354*D354</f>
        <v/>
      </c>
      <c r="G354" s="63" t="n"/>
      <c r="H354" s="11" t="n"/>
    </row>
    <row r="355" ht="41.25" customHeight="1">
      <c r="A355" s="11" t="n"/>
      <c r="B355" s="63" t="inlineStr">
        <is>
          <t>42</t>
        </is>
      </c>
      <c r="C355" s="52" t="inlineStr">
        <is>
          <t>Насос НВ-Мн-50/50; Насос НВ-Мн-Е-50/50; Насос НВ-Мт-50/50; Насос НВ-Мт-Е-50/50; НВД 50/50; Насос НВ-50/50; Насос НВ-Е-50/50</t>
        </is>
      </c>
      <c r="D355" s="45" t="n">
        <v>1</v>
      </c>
      <c r="E355" s="18" t="n">
        <v>10307</v>
      </c>
      <c r="F355" s="18">
        <f>E355*D355</f>
        <v/>
      </c>
      <c r="G355" s="63" t="n"/>
      <c r="H355" s="11" t="n"/>
    </row>
    <row r="356" ht="15.75" customHeight="1">
      <c r="A356" s="11" t="n"/>
      <c r="B356" s="94" t="inlineStr">
        <is>
          <t>43</t>
        </is>
      </c>
      <c r="C356" s="52" t="inlineStr">
        <is>
          <t xml:space="preserve">Насос НПВ 1250/60 </t>
        </is>
      </c>
      <c r="D356" s="45" t="n"/>
      <c r="E356" s="18" t="n">
        <v>58526</v>
      </c>
      <c r="F356" s="18">
        <f>E356*D356</f>
        <v/>
      </c>
      <c r="G356" s="63" t="n"/>
      <c r="H356" s="11" t="n"/>
    </row>
    <row r="357" hidden="1" ht="22.5" customHeight="1">
      <c r="A357" s="11" t="n"/>
      <c r="B357" s="63" t="inlineStr">
        <is>
          <t>44</t>
        </is>
      </c>
      <c r="C357" s="52" t="inlineStr">
        <is>
          <t>Насос НЦСГ-Е-5-100-П2,5; НЦСГ-Е-12,5-150 -П2,5; НЦСГ-Е-2-40-П</t>
        </is>
      </c>
      <c r="D357" s="45" t="n"/>
      <c r="E357" s="18" t="n">
        <v>90145</v>
      </c>
      <c r="F357" s="18">
        <f>E357*D357</f>
        <v/>
      </c>
      <c r="G357" s="63" t="n"/>
      <c r="H357" s="11" t="n"/>
    </row>
    <row r="358" hidden="1" ht="15.75" customHeight="1">
      <c r="A358" s="11" t="n"/>
      <c r="B358" s="94" t="inlineStr">
        <is>
          <t>45</t>
        </is>
      </c>
      <c r="C358" s="52" t="inlineStr">
        <is>
          <t>Насос СR 32-3-2</t>
        </is>
      </c>
      <c r="D358" s="45" t="n"/>
      <c r="E358" s="18" t="n">
        <v>12915</v>
      </c>
      <c r="F358" s="18">
        <f>E358*D358</f>
        <v/>
      </c>
      <c r="G358" s="63" t="n"/>
      <c r="H358" s="11" t="n"/>
    </row>
    <row r="359" hidden="1" ht="25.5" customHeight="1">
      <c r="A359" s="11" t="n"/>
      <c r="B359" s="63" t="inlineStr">
        <is>
          <t>46</t>
        </is>
      </c>
      <c r="C359" s="52" t="inlineStr">
        <is>
          <t>Насос типа ЦГ6,3/32-2,2-2; ЦГ 6,3/32-2,2-5; ЦГ 6,3/20-1,1-2; ЦГ 6,3/32-1,1-5</t>
        </is>
      </c>
      <c r="D359" s="45" t="n"/>
      <c r="E359" s="18" t="n">
        <v>11362</v>
      </c>
      <c r="F359" s="18">
        <f>E359*D359</f>
        <v/>
      </c>
      <c r="G359" s="63" t="n"/>
      <c r="H359" s="11" t="n"/>
    </row>
    <row r="360" hidden="1" ht="15.75" customHeight="1">
      <c r="A360" s="11" t="n"/>
      <c r="B360" s="94" t="inlineStr">
        <is>
          <t>47</t>
        </is>
      </c>
      <c r="C360" s="52" t="inlineStr">
        <is>
          <t>Насос ТР 100-820/2</t>
        </is>
      </c>
      <c r="D360" s="45" t="n"/>
      <c r="E360" s="18" t="n">
        <v>7791</v>
      </c>
      <c r="F360" s="18">
        <f>E360*D360</f>
        <v/>
      </c>
      <c r="G360" s="63" t="n"/>
      <c r="H360" s="11" t="n"/>
    </row>
    <row r="361" hidden="1" ht="15.75" customHeight="1">
      <c r="A361" s="11" t="n"/>
      <c r="B361" s="63" t="inlineStr">
        <is>
          <t>48</t>
        </is>
      </c>
      <c r="C361" s="52" t="inlineStr">
        <is>
          <t>Насос ХПЕ 80-50-200</t>
        </is>
      </c>
      <c r="D361" s="45" t="n"/>
      <c r="E361" s="18" t="n">
        <v>7791</v>
      </c>
      <c r="F361" s="18">
        <f>E361*D361</f>
        <v/>
      </c>
      <c r="G361" s="63" t="n"/>
      <c r="H361" s="11" t="n"/>
    </row>
    <row r="362" ht="15.75" customHeight="1">
      <c r="A362" s="11" t="n"/>
      <c r="B362" s="94" t="inlineStr">
        <is>
          <t>49</t>
        </is>
      </c>
      <c r="C362" s="52" t="inlineStr">
        <is>
          <t>Насос ЦНС 105/98…490</t>
        </is>
      </c>
      <c r="D362" s="45" t="n"/>
      <c r="E362" s="18" t="n">
        <v>37826</v>
      </c>
      <c r="F362" s="18">
        <f>E362*D362</f>
        <v/>
      </c>
      <c r="G362" s="63" t="n"/>
      <c r="H362" s="11" t="n"/>
    </row>
    <row r="363" ht="15.75" customHeight="1">
      <c r="A363" s="11" t="n"/>
      <c r="B363" s="63" t="inlineStr">
        <is>
          <t>50</t>
        </is>
      </c>
      <c r="C363" s="52" t="inlineStr">
        <is>
          <t>Насос ЦНС 105/98…490 с торцевым уплотнением</t>
        </is>
      </c>
      <c r="D363" s="45" t="n"/>
      <c r="E363" s="18" t="n">
        <v>37826</v>
      </c>
      <c r="F363" s="18">
        <f>E363*D363</f>
        <v/>
      </c>
      <c r="G363" s="63" t="n"/>
      <c r="H363" s="11" t="n"/>
    </row>
    <row r="364" ht="15.75" customHeight="1">
      <c r="A364" s="11" t="n"/>
      <c r="B364" s="94" t="inlineStr">
        <is>
          <t>51</t>
        </is>
      </c>
      <c r="C364" s="52" t="inlineStr">
        <is>
          <t>Насос ЦНС 100...180/870…2050</t>
        </is>
      </c>
      <c r="D364" s="45" t="n">
        <v>1</v>
      </c>
      <c r="E364" s="18" t="n">
        <v>69539</v>
      </c>
      <c r="F364" s="18">
        <f>E364*D364</f>
        <v/>
      </c>
      <c r="G364" s="63" t="n"/>
      <c r="H364" s="11" t="n"/>
    </row>
    <row r="365" ht="15.75" customHeight="1">
      <c r="A365" s="11" t="n"/>
      <c r="B365" s="63" t="inlineStr">
        <is>
          <t>52</t>
        </is>
      </c>
      <c r="C365" s="52" t="inlineStr">
        <is>
          <t>Насос ЦНС 180/85…425</t>
        </is>
      </c>
      <c r="D365" s="45" t="n"/>
      <c r="E365" s="18" t="n">
        <v>46789</v>
      </c>
      <c r="F365" s="18">
        <f>E365*D365</f>
        <v/>
      </c>
      <c r="G365" s="63" t="n"/>
      <c r="H365" s="11" t="n"/>
    </row>
    <row r="366" ht="15.75" customHeight="1">
      <c r="A366" s="11" t="n"/>
      <c r="B366" s="94" t="inlineStr">
        <is>
          <t>53</t>
        </is>
      </c>
      <c r="C366" s="52" t="inlineStr">
        <is>
          <t>Насос ЦНС 180/85…425 с торцевым уплотнением</t>
        </is>
      </c>
      <c r="D366" s="45" t="n"/>
      <c r="E366" s="18" t="n">
        <v>46789</v>
      </c>
      <c r="F366" s="18">
        <f>E366*D366</f>
        <v/>
      </c>
      <c r="G366" s="63" t="n"/>
      <c r="H366" s="11" t="n"/>
    </row>
    <row r="367" ht="15.75" customHeight="1">
      <c r="A367" s="11" t="n"/>
      <c r="B367" s="63" t="inlineStr">
        <is>
          <t>54</t>
        </is>
      </c>
      <c r="C367" s="52" t="inlineStr">
        <is>
          <t xml:space="preserve">Насос ЦНС 225...280/870...1900 </t>
        </is>
      </c>
      <c r="D367" s="45" t="n">
        <v>2</v>
      </c>
      <c r="E367" s="18" t="n">
        <v>69539</v>
      </c>
      <c r="F367" s="18">
        <f>E367*D367</f>
        <v/>
      </c>
      <c r="G367" s="63" t="n"/>
      <c r="H367" s="11" t="n"/>
    </row>
    <row r="368" ht="12.75" customHeight="1">
      <c r="A368" s="11" t="n"/>
      <c r="B368" s="94" t="inlineStr">
        <is>
          <t>55</t>
        </is>
      </c>
      <c r="C368" s="52" t="inlineStr">
        <is>
          <t>Насос ЦНС 300/120…300</t>
        </is>
      </c>
      <c r="D368" s="45" t="n">
        <v>1</v>
      </c>
      <c r="E368" s="18" t="n">
        <v>56207</v>
      </c>
      <c r="F368" s="18">
        <f>E368*D368</f>
        <v/>
      </c>
      <c r="G368" s="63" t="n"/>
      <c r="H368" s="11" t="n"/>
    </row>
    <row r="369" ht="25.5" customHeight="1">
      <c r="A369" s="11" t="n"/>
      <c r="B369" s="63" t="inlineStr">
        <is>
          <t>56</t>
        </is>
      </c>
      <c r="C369" s="52" t="inlineStr">
        <is>
          <t>Насос ЦНС 300/120…300 с торцевым уплотнением</t>
        </is>
      </c>
      <c r="D369" s="45" t="n"/>
      <c r="E369" s="18" t="n">
        <v>56207</v>
      </c>
      <c r="F369" s="18">
        <f>E369*D369</f>
        <v/>
      </c>
      <c r="G369" s="63" t="n"/>
      <c r="H369" s="11" t="n"/>
    </row>
    <row r="370" ht="12.75" customHeight="1">
      <c r="A370" s="11" t="n"/>
      <c r="B370" s="94" t="inlineStr">
        <is>
          <t>57</t>
        </is>
      </c>
      <c r="C370" s="52" t="inlineStr">
        <is>
          <t>Насос ЦНС 300/360…660</t>
        </is>
      </c>
      <c r="D370" s="45" t="n"/>
      <c r="E370" s="18" t="n">
        <v>56207</v>
      </c>
      <c r="F370" s="18">
        <f>E370*D370</f>
        <v/>
      </c>
      <c r="G370" s="63" t="n"/>
      <c r="H370" s="11" t="n"/>
    </row>
    <row r="371" ht="25.5" customHeight="1">
      <c r="A371" s="11" t="n"/>
      <c r="B371" s="63" t="inlineStr">
        <is>
          <t>58</t>
        </is>
      </c>
      <c r="C371" s="52" t="inlineStr">
        <is>
          <t>Насос ЦНС 300/360…660 с торцевым уплотнением</t>
        </is>
      </c>
      <c r="D371" s="45" t="n"/>
      <c r="E371" s="18" t="n">
        <v>56207</v>
      </c>
      <c r="F371" s="18">
        <f>E371*D371</f>
        <v/>
      </c>
      <c r="G371" s="63" t="n"/>
      <c r="H371" s="11" t="n"/>
    </row>
    <row r="372" ht="12.75" customHeight="1">
      <c r="A372" s="11" t="n"/>
      <c r="B372" s="94" t="inlineStr">
        <is>
          <t>59</t>
        </is>
      </c>
      <c r="C372" s="52" t="inlineStr">
        <is>
          <t>Насос ЦНС 310-1510</t>
        </is>
      </c>
      <c r="D372" s="45" t="n">
        <v>1</v>
      </c>
      <c r="E372" s="18" t="n">
        <v>69539</v>
      </c>
      <c r="F372" s="18">
        <f>E372*D372</f>
        <v/>
      </c>
      <c r="G372" s="63" t="n"/>
      <c r="H372" s="11" t="n"/>
    </row>
    <row r="373" ht="25.5" customHeight="1">
      <c r="A373" s="11" t="n"/>
      <c r="B373" s="63" t="inlineStr">
        <is>
          <t>60</t>
        </is>
      </c>
      <c r="C373" s="52" t="inlineStr">
        <is>
          <t>Насос ЦНС 320-1350</t>
        </is>
      </c>
      <c r="D373" s="45" t="n"/>
      <c r="E373" s="18" t="n">
        <v>69539</v>
      </c>
      <c r="F373" s="18">
        <f>E373*D373</f>
        <v/>
      </c>
      <c r="G373" s="63" t="n"/>
      <c r="H373" s="11" t="n"/>
    </row>
    <row r="374" ht="12.75" customHeight="1">
      <c r="A374" s="11" t="n"/>
      <c r="B374" s="94" t="inlineStr">
        <is>
          <t>61</t>
        </is>
      </c>
      <c r="C374" s="52" t="inlineStr">
        <is>
          <t>Насос ЦНС 350-1650</t>
        </is>
      </c>
      <c r="D374" s="45" t="n"/>
      <c r="E374" s="18" t="n">
        <v>69539</v>
      </c>
      <c r="F374" s="18">
        <f>E374*D374</f>
        <v/>
      </c>
      <c r="G374" s="63" t="n"/>
      <c r="H374" s="11" t="n"/>
    </row>
    <row r="375" ht="12.75" customHeight="1">
      <c r="A375" s="11" t="n"/>
      <c r="B375" s="63" t="inlineStr">
        <is>
          <t>62</t>
        </is>
      </c>
      <c r="C375" s="77" t="inlineStr">
        <is>
          <t>Насос ЦНС 40/1400</t>
        </is>
      </c>
      <c r="D375" s="45" t="n"/>
      <c r="E375" s="18" t="n">
        <v>69539</v>
      </c>
      <c r="F375" s="18">
        <f>E375*D375</f>
        <v/>
      </c>
      <c r="G375" s="63" t="n"/>
      <c r="H375" s="11" t="n"/>
    </row>
    <row r="376" ht="12.75" customHeight="1">
      <c r="A376" s="11" t="n"/>
      <c r="B376" s="94" t="inlineStr">
        <is>
          <t>63</t>
        </is>
      </c>
      <c r="C376" s="77" t="inlineStr">
        <is>
          <t>Насос ЦНС-13/70…350</t>
        </is>
      </c>
      <c r="D376" s="45" t="n"/>
      <c r="E376" s="18" t="n">
        <v>38000</v>
      </c>
      <c r="F376" s="18">
        <f>E376*D376</f>
        <v/>
      </c>
      <c r="G376" s="63" t="n"/>
      <c r="H376" s="11" t="n"/>
    </row>
    <row r="377" ht="12.75" customHeight="1">
      <c r="A377" s="11" t="n"/>
      <c r="B377" s="63" t="inlineStr">
        <is>
          <t>64</t>
        </is>
      </c>
      <c r="C377" s="77" t="inlineStr">
        <is>
          <t>Насос ЦНС-13/70…350 с торцевым уплотнением</t>
        </is>
      </c>
      <c r="D377" s="45" t="n"/>
      <c r="E377" s="18" t="n">
        <v>38000</v>
      </c>
      <c r="F377" s="18">
        <f>E377*D377</f>
        <v/>
      </c>
      <c r="G377" s="63" t="n"/>
      <c r="H377" s="11" t="n"/>
    </row>
    <row r="378" ht="12.75" customHeight="1">
      <c r="A378" s="11" t="n"/>
      <c r="B378" s="94" t="inlineStr">
        <is>
          <t>65</t>
        </is>
      </c>
      <c r="C378" s="52" t="inlineStr">
        <is>
          <t>Насос ЦНС-38/44…220</t>
        </is>
      </c>
      <c r="D378" s="87" t="n"/>
      <c r="E378" s="87" t="n">
        <v>38000</v>
      </c>
      <c r="F378" s="18">
        <f>E378*D378</f>
        <v/>
      </c>
      <c r="G378" s="63" t="n"/>
      <c r="H378" s="11" t="n"/>
    </row>
    <row r="379" ht="18.75" customHeight="1">
      <c r="A379" s="11" t="n"/>
      <c r="B379" s="63" t="inlineStr">
        <is>
          <t>66</t>
        </is>
      </c>
      <c r="C379" s="52" t="inlineStr">
        <is>
          <t>Насос ЦНС-38/44…220 с торцевым уплотнением</t>
        </is>
      </c>
      <c r="D379" s="45" t="n">
        <v>1</v>
      </c>
      <c r="E379" s="45" t="n">
        <v>38000</v>
      </c>
      <c r="F379" s="18">
        <f>E379*D379</f>
        <v/>
      </c>
      <c r="G379" s="63" t="n"/>
      <c r="H379" s="11" t="n"/>
    </row>
    <row r="380" ht="34.5" customHeight="1">
      <c r="A380" s="11" t="n"/>
      <c r="B380" s="94" t="inlineStr">
        <is>
          <t>67</t>
        </is>
      </c>
      <c r="C380" s="52" t="inlineStr">
        <is>
          <t>Насос ЦНС-60/66…330</t>
        </is>
      </c>
      <c r="D380" s="45" t="n"/>
      <c r="E380" s="45" t="n">
        <v>38000</v>
      </c>
      <c r="F380" s="18">
        <f>E380*D380</f>
        <v/>
      </c>
      <c r="G380" s="63" t="n"/>
      <c r="H380" s="11" t="n"/>
    </row>
    <row r="381" ht="12.75" customHeight="1">
      <c r="A381" s="11" t="n"/>
      <c r="B381" s="63" t="inlineStr">
        <is>
          <t>68</t>
        </is>
      </c>
      <c r="C381" s="46" t="inlineStr">
        <is>
          <t>Насос ЦНС-60/66…330 с торцевым уплотнением</t>
        </is>
      </c>
      <c r="D381" s="45" t="n">
        <v>1</v>
      </c>
      <c r="E381" s="45" t="n">
        <v>38000</v>
      </c>
      <c r="F381" s="18">
        <f>E381*D381</f>
        <v/>
      </c>
      <c r="G381" s="63" t="n"/>
      <c r="H381" s="11" t="n"/>
    </row>
    <row r="382" ht="12.75" customHeight="1">
      <c r="A382" s="11" t="n"/>
      <c r="B382" s="94" t="inlineStr">
        <is>
          <t>69</t>
        </is>
      </c>
      <c r="C382" s="52" t="inlineStr">
        <is>
          <t xml:space="preserve">Насос ЦНС-63/1000...1900 </t>
        </is>
      </c>
      <c r="D382" s="45" t="n"/>
      <c r="E382" s="45" t="n">
        <v>69539</v>
      </c>
      <c r="F382" s="18">
        <f>E382*D382</f>
        <v/>
      </c>
      <c r="G382" s="63" t="n"/>
      <c r="H382" s="11" t="n"/>
    </row>
    <row r="383" ht="12.75" customHeight="1">
      <c r="A383" s="11" t="n"/>
      <c r="B383" s="63" t="inlineStr">
        <is>
          <t>70</t>
        </is>
      </c>
      <c r="C383" s="52" t="inlineStr">
        <is>
          <t xml:space="preserve">Насос ЦНС-90/1100...1900 </t>
        </is>
      </c>
      <c r="D383" s="45" t="n"/>
      <c r="E383" s="18" t="n">
        <v>69539</v>
      </c>
      <c r="F383" s="18">
        <f>E383*D383</f>
        <v/>
      </c>
      <c r="G383" s="63" t="n"/>
      <c r="H383" s="11" t="n"/>
    </row>
    <row r="384" ht="43.5" customHeight="1">
      <c r="A384" s="11" t="n"/>
      <c r="B384" s="94" t="inlineStr">
        <is>
          <t>71</t>
        </is>
      </c>
      <c r="C384" s="52" t="inlineStr">
        <is>
          <t>Насос шестеренный типа НМШ5-25-4,0/4; НМШ5-25-4,0/10; НМШ5-25-4,0/25; НМШ8-25-6,3/2,5; НМШ8-25-6,3/10; НМШ8-25-6,3/25, НШ 5/25</t>
        </is>
      </c>
      <c r="D384" s="45" t="n"/>
      <c r="E384" s="18" t="n">
        <v>7032</v>
      </c>
      <c r="F384" s="18">
        <f>E384*D384</f>
        <v/>
      </c>
      <c r="G384" s="63" t="n"/>
      <c r="H384" s="11" t="n"/>
    </row>
    <row r="385" hidden="1" ht="18" customHeight="1">
      <c r="A385" s="11" t="n"/>
      <c r="B385" s="63" t="inlineStr">
        <is>
          <t>72</t>
        </is>
      </c>
      <c r="C385" s="66" t="inlineStr">
        <is>
          <t>Поршневой компрессор К2</t>
        </is>
      </c>
      <c r="D385" s="64" t="n"/>
      <c r="E385" s="26" t="n">
        <v>31270</v>
      </c>
      <c r="F385" s="26">
        <f>E385*D385</f>
        <v/>
      </c>
      <c r="G385" s="63" t="n"/>
      <c r="H385" s="11" t="n"/>
    </row>
    <row r="386" ht="15" customHeight="1">
      <c r="A386" s="11" t="n"/>
      <c r="B386" s="85" t="inlineStr">
        <is>
          <t>ИТОГО:</t>
        </is>
      </c>
      <c r="D386" s="63" t="n"/>
      <c r="E386" s="63" t="n"/>
      <c r="F386" s="94">
        <f>SUM(F314:F385)</f>
        <v/>
      </c>
      <c r="G386" s="63" t="n"/>
      <c r="H386" s="11" t="n"/>
      <c r="K386" s="88" t="inlineStr">
        <is>
          <t xml:space="preserve"> </t>
        </is>
      </c>
    </row>
    <row r="387" ht="15" customHeight="1">
      <c r="A387" s="11" t="n"/>
      <c r="B387" s="90" t="inlineStr">
        <is>
          <t>ВСЕГО:</t>
        </is>
      </c>
      <c r="C387" s="11" t="n"/>
      <c r="D387" s="63" t="n"/>
      <c r="E387" s="63" t="n"/>
      <c r="F387" s="26">
        <f>F386+F312+F238+F164+F90</f>
        <v/>
      </c>
      <c r="G387" s="11" t="n"/>
      <c r="H387" s="94">
        <f>F386+F312+F238+F164+F90</f>
        <v/>
      </c>
    </row>
    <row r="388" ht="14.25" customHeight="1">
      <c r="A388" s="11" t="n"/>
      <c r="B388" s="90" t="inlineStr">
        <is>
          <t>НДС 22%</t>
        </is>
      </c>
      <c r="C388" s="11" t="n"/>
      <c r="D388" s="63" t="n"/>
      <c r="E388" s="63" t="n"/>
      <c r="F388" s="26">
        <f>F387*0.22</f>
        <v/>
      </c>
      <c r="G388" s="90" t="n"/>
      <c r="H388" s="11" t="n"/>
    </row>
    <row r="389" ht="13.5" customHeight="1">
      <c r="A389" s="11" t="n"/>
      <c r="B389" s="90" t="inlineStr">
        <is>
          <t>ВСЕГО с НДС</t>
        </is>
      </c>
      <c r="D389" s="63" t="n"/>
      <c r="E389" s="63" t="n"/>
      <c r="F389" s="26">
        <f>F387+F388</f>
        <v/>
      </c>
      <c r="G389" s="90" t="n"/>
      <c r="H389" s="11" t="n"/>
    </row>
    <row r="390" ht="9" customHeight="1">
      <c r="A390" s="11" t="n"/>
      <c r="B390" s="90" t="n"/>
      <c r="C390" s="90" t="n"/>
      <c r="D390" s="63" t="n"/>
      <c r="E390" s="63" t="n"/>
      <c r="F390" s="26" t="n"/>
      <c r="G390" s="90" t="n"/>
      <c r="H390" s="11" t="n"/>
    </row>
    <row r="391" ht="18" customHeight="1">
      <c r="A391" s="11" t="inlineStr">
        <is>
          <t xml:space="preserve">Итого по документу : </t>
        </is>
      </c>
      <c r="B391" s="11" t="n"/>
      <c r="C391" s="11" t="n"/>
      <c r="D391" s="63" t="n"/>
      <c r="E391" s="63" t="n"/>
      <c r="F391" s="26" t="n"/>
      <c r="G391" s="63" t="n"/>
      <c r="H391" s="11" t="n"/>
    </row>
    <row r="392" ht="24.75" customHeight="1">
      <c r="A392" s="11" t="inlineStr">
        <is>
          <t xml:space="preserve">в том числе НДС: </t>
        </is>
      </c>
      <c r="B392" s="11" t="n"/>
      <c r="C392" s="11" t="n"/>
      <c r="D392" s="63" t="n"/>
      <c r="E392" s="63" t="n"/>
      <c r="F392" s="26" t="n"/>
      <c r="G392" s="11" t="n"/>
      <c r="H392" s="11" t="n"/>
      <c r="J392" s="3" t="n"/>
    </row>
    <row r="393" ht="16.5" customFormat="1" customHeight="1" s="83">
      <c r="A393" s="11" t="inlineStr">
        <is>
          <t>ИСПОЛНИТЕЛЬ:</t>
        </is>
      </c>
      <c r="B393" s="11" t="n"/>
      <c r="C393" s="11" t="n"/>
      <c r="D393" s="90" t="n"/>
      <c r="E393" s="86" t="inlineStr">
        <is>
          <t>ЗАКАЗЧИК:</t>
        </is>
      </c>
      <c r="G393" s="88" t="n"/>
      <c r="H393" s="94" t="n"/>
      <c r="J393" s="3" t="n"/>
    </row>
    <row r="394" ht="29.25" customFormat="1" customHeight="1" s="83">
      <c r="A394" s="96" t="inlineStr">
        <is>
          <t xml:space="preserve">Генеральный директор 
</t>
        </is>
      </c>
      <c r="B394" s="71" t="n"/>
      <c r="C394" s="71" t="n"/>
      <c r="D394" s="88" t="n"/>
      <c r="E394" s="84" t="inlineStr">
        <is>
          <t>Руководитель ЦОП</t>
        </is>
      </c>
    </row>
    <row r="395" ht="18.75" customFormat="1" customHeight="1" s="83">
      <c r="A395" s="92" t="inlineStr">
        <is>
          <t>ООО "ЯмалСпецЦентр"</t>
        </is>
      </c>
      <c r="D395" s="79" t="n"/>
      <c r="E395" s="96" t="inlineStr">
        <is>
          <t xml:space="preserve">
АО "Газпромнефть-Ноябрьскнефтегаз"        </t>
        </is>
      </c>
    </row>
    <row r="396" ht="25.5" customFormat="1" customHeight="1" s="83">
      <c r="A396" s="88" t="inlineStr">
        <is>
          <t>_________________А.Г. Воронин</t>
        </is>
      </c>
      <c r="B396" s="72" t="n"/>
      <c r="C396" s="73" t="n"/>
      <c r="D396" s="80" t="n"/>
      <c r="E396" s="102" t="inlineStr">
        <is>
          <t>_________________ И.И. Исламов</t>
        </is>
      </c>
    </row>
    <row r="397" ht="22.5" customFormat="1" customHeight="1" s="83">
      <c r="A397" s="88" t="n"/>
      <c r="B397" s="98" t="inlineStr">
        <is>
          <t>М.П.</t>
        </is>
      </c>
      <c r="D397" s="81" t="n"/>
      <c r="E397" s="103" t="inlineStr">
        <is>
          <t>М.П.</t>
        </is>
      </c>
    </row>
    <row r="398" ht="45" customFormat="1" customHeight="1" s="83">
      <c r="A398" s="31" t="inlineStr">
        <is>
          <t>Дата подписания    31.01.2026 г.</t>
        </is>
      </c>
      <c r="B398" s="22" t="n"/>
      <c r="C398" s="73" t="n"/>
      <c r="D398" s="58" t="n"/>
      <c r="E398" s="97" t="inlineStr">
        <is>
          <t>Доверенность №  Д-396 от 17.10.2023 г.
Дата подписания   31.12.2025 г.</t>
        </is>
      </c>
    </row>
    <row r="399" ht="24" customFormat="1" customHeight="1" s="83">
      <c r="A399" s="90" t="inlineStr">
        <is>
          <t>СОГЛАСОВАНО:</t>
        </is>
      </c>
      <c r="D399" s="8" t="n"/>
      <c r="E399" s="93" t="inlineStr">
        <is>
          <t>СОГЛАСОВАНО:</t>
        </is>
      </c>
    </row>
    <row r="400" ht="30.75" customFormat="1" customHeight="1" s="83">
      <c r="A400" s="74" t="inlineStr">
        <is>
          <t>Начальник ПЭО</t>
        </is>
      </c>
      <c r="B400" s="75" t="n"/>
      <c r="C400" s="73" t="n"/>
      <c r="D400" s="8" t="n"/>
      <c r="E400" s="86" t="n"/>
    </row>
    <row r="401" ht="16.5" customFormat="1" customHeight="1" s="83">
      <c r="A401" s="105" t="inlineStr">
        <is>
          <t>________________А.С. Бойчук</t>
        </is>
      </c>
      <c r="B401" s="75" t="n"/>
      <c r="C401" s="73" t="n"/>
      <c r="D401" s="54" t="n"/>
      <c r="E401" s="8" t="n"/>
      <c r="F401" s="99" t="n"/>
      <c r="G401" s="99" t="n"/>
      <c r="H401" s="99" t="n"/>
    </row>
    <row r="402" ht="12.75" customFormat="1" customHeight="1" s="83">
      <c r="A402" s="11" t="n"/>
      <c r="B402" s="11" t="n"/>
      <c r="C402" s="49" t="n"/>
      <c r="D402" s="85" t="n"/>
      <c r="E402" s="95" t="n"/>
      <c r="H402" s="11" t="n"/>
    </row>
    <row r="403" ht="15.75" customFormat="1" customHeight="1" s="83">
      <c r="A403" s="11" t="n"/>
      <c r="B403" s="11" t="n"/>
      <c r="C403" s="11" t="n"/>
      <c r="D403" s="90" t="n"/>
      <c r="E403" s="94" t="n"/>
      <c r="G403" s="11" t="n"/>
      <c r="H403" s="11" t="n"/>
    </row>
    <row r="404" ht="15.75" customFormat="1" customHeight="1" s="83">
      <c r="B404" s="88" t="n"/>
      <c r="C404" s="88" t="n"/>
      <c r="D404" s="14" t="n"/>
      <c r="E404" s="104" t="n"/>
      <c r="G404" s="88" t="n"/>
    </row>
    <row r="405" ht="6" customHeight="1">
      <c r="B405" s="94" t="n"/>
      <c r="C405" s="87" t="n"/>
      <c r="D405" s="87" t="n"/>
      <c r="E405" s="3" t="n"/>
      <c r="F405" s="24" t="n"/>
      <c r="G405" s="24" t="n"/>
    </row>
    <row r="406" ht="12.75" customHeight="1">
      <c r="B406" s="94" t="n"/>
      <c r="C406" s="87" t="n"/>
      <c r="D406" s="87" t="n"/>
      <c r="E406" s="87" t="n"/>
      <c r="F406" s="87" t="n"/>
      <c r="G406" s="87" t="n"/>
    </row>
  </sheetData>
  <mergeCells count="32">
    <mergeCell ref="B389:C389"/>
    <mergeCell ref="F13:F15"/>
    <mergeCell ref="E399:H399"/>
    <mergeCell ref="B90:C90"/>
    <mergeCell ref="B165:C165"/>
    <mergeCell ref="E403:F403"/>
    <mergeCell ref="B238:C238"/>
    <mergeCell ref="E402:G402"/>
    <mergeCell ref="C13:C15"/>
    <mergeCell ref="E395:H395"/>
    <mergeCell ref="B2:C2"/>
    <mergeCell ref="E394:H394"/>
    <mergeCell ref="B5:C6"/>
    <mergeCell ref="A395:C395"/>
    <mergeCell ref="B312:C312"/>
    <mergeCell ref="E5:H6"/>
    <mergeCell ref="E400:G400"/>
    <mergeCell ref="E398:H398"/>
    <mergeCell ref="E393:F393"/>
    <mergeCell ref="B397:C397"/>
    <mergeCell ref="B239:C239"/>
    <mergeCell ref="E13:E15"/>
    <mergeCell ref="B313:C313"/>
    <mergeCell ref="B164:C164"/>
    <mergeCell ref="E396:I396"/>
    <mergeCell ref="B13:B15"/>
    <mergeCell ref="D13:D15"/>
    <mergeCell ref="A399:C399"/>
    <mergeCell ref="E397:H397"/>
    <mergeCell ref="E404:F404"/>
    <mergeCell ref="E2:H2"/>
    <mergeCell ref="B386:C38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6"/>
  <sheetViews>
    <sheetView showZeros="0" tabSelected="1" view="pageBreakPreview" topLeftCell="A7" zoomScaleNormal="110" zoomScaleSheetLayoutView="100" workbookViewId="0">
      <selection activeCell="F36" sqref="F36"/>
    </sheetView>
  </sheetViews>
  <sheetFormatPr baseColWidth="8" defaultRowHeight="12.75" outlineLevelCol="0"/>
  <cols>
    <col width="2.5703125" customWidth="1" style="88" min="1" max="1"/>
    <col width="5.85546875" customWidth="1" style="88" min="2" max="2"/>
    <col width="40.5703125" customWidth="1" style="88" min="3" max="3"/>
    <col width="13.85546875" customWidth="1" style="88" min="4" max="4"/>
    <col width="19.140625" customWidth="1" style="88" min="5" max="5"/>
    <col width="28" customWidth="1" style="88" min="6" max="6"/>
    <col width="5" customWidth="1" style="88" min="7" max="7"/>
    <col width="14.7109375" customWidth="1" style="88" min="8" max="8"/>
    <col width="16.140625" customWidth="1" style="88" min="9" max="9"/>
    <col width="14.140625" customWidth="1" style="88" min="10" max="10"/>
    <col width="11" bestFit="1" customWidth="1" style="88" min="11" max="12"/>
    <col width="9.140625" customWidth="1" style="88" min="13" max="254"/>
    <col width="2" customWidth="1" style="88" min="255" max="255"/>
    <col width="5.85546875" customWidth="1" style="88" min="256" max="256"/>
    <col width="38.5703125" customWidth="1" style="88" min="257" max="257"/>
    <col width="10" customWidth="1" style="88" min="258" max="258"/>
    <col width="21.5703125" customWidth="1" style="88" min="259" max="259"/>
    <col width="22.7109375" customWidth="1" style="88" min="260" max="260"/>
    <col width="0.28515625" customWidth="1" style="88" min="261" max="261"/>
    <col hidden="1" width="13" customWidth="1" style="88" min="262" max="262"/>
    <col width="9.140625" customWidth="1" style="88" min="263" max="265"/>
    <col width="14.140625" customWidth="1" style="88" min="266" max="266"/>
    <col width="9.140625" customWidth="1" style="88" min="267" max="510"/>
    <col width="2" customWidth="1" style="88" min="511" max="511"/>
    <col width="5.85546875" customWidth="1" style="88" min="512" max="512"/>
    <col width="38.5703125" customWidth="1" style="88" min="513" max="513"/>
    <col width="10" customWidth="1" style="88" min="514" max="514"/>
    <col width="21.5703125" customWidth="1" style="88" min="515" max="515"/>
    <col width="22.7109375" customWidth="1" style="88" min="516" max="516"/>
    <col width="0.28515625" customWidth="1" style="88" min="517" max="517"/>
    <col hidden="1" width="13" customWidth="1" style="88" min="518" max="518"/>
    <col width="9.140625" customWidth="1" style="88" min="519" max="521"/>
    <col width="14.140625" customWidth="1" style="88" min="522" max="522"/>
    <col width="9.140625" customWidth="1" style="88" min="523" max="766"/>
    <col width="2" customWidth="1" style="88" min="767" max="767"/>
    <col width="5.85546875" customWidth="1" style="88" min="768" max="768"/>
    <col width="38.5703125" customWidth="1" style="88" min="769" max="769"/>
    <col width="10" customWidth="1" style="88" min="770" max="770"/>
    <col width="21.5703125" customWidth="1" style="88" min="771" max="771"/>
    <col width="22.7109375" customWidth="1" style="88" min="772" max="772"/>
    <col width="0.28515625" customWidth="1" style="88" min="773" max="773"/>
    <col hidden="1" width="13" customWidth="1" style="88" min="774" max="774"/>
    <col width="9.140625" customWidth="1" style="88" min="775" max="777"/>
    <col width="14.140625" customWidth="1" style="88" min="778" max="778"/>
    <col width="9.140625" customWidth="1" style="88" min="779" max="1022"/>
    <col width="2" customWidth="1" style="88" min="1023" max="1023"/>
    <col width="5.85546875" customWidth="1" style="88" min="1024" max="1024"/>
    <col width="38.5703125" customWidth="1" style="88" min="1025" max="1025"/>
    <col width="10" customWidth="1" style="88" min="1026" max="1026"/>
    <col width="21.5703125" customWidth="1" style="88" min="1027" max="1027"/>
    <col width="22.7109375" customWidth="1" style="88" min="1028" max="1028"/>
    <col width="0.28515625" customWidth="1" style="88" min="1029" max="1029"/>
    <col hidden="1" width="13" customWidth="1" style="88" min="1030" max="1030"/>
    <col width="9.140625" customWidth="1" style="88" min="1031" max="1033"/>
    <col width="14.140625" customWidth="1" style="88" min="1034" max="1034"/>
    <col width="9.140625" customWidth="1" style="88" min="1035" max="1278"/>
    <col width="2" customWidth="1" style="88" min="1279" max="1279"/>
    <col width="5.85546875" customWidth="1" style="88" min="1280" max="1280"/>
    <col width="38.5703125" customWidth="1" style="88" min="1281" max="1281"/>
    <col width="10" customWidth="1" style="88" min="1282" max="1282"/>
    <col width="21.5703125" customWidth="1" style="88" min="1283" max="1283"/>
    <col width="22.7109375" customWidth="1" style="88" min="1284" max="1284"/>
    <col width="0.28515625" customWidth="1" style="88" min="1285" max="1285"/>
    <col hidden="1" width="13" customWidth="1" style="88" min="1286" max="1286"/>
    <col width="9.140625" customWidth="1" style="88" min="1287" max="1289"/>
    <col width="14.140625" customWidth="1" style="88" min="1290" max="1290"/>
    <col width="9.140625" customWidth="1" style="88" min="1291" max="1534"/>
    <col width="2" customWidth="1" style="88" min="1535" max="1535"/>
    <col width="5.85546875" customWidth="1" style="88" min="1536" max="1536"/>
    <col width="38.5703125" customWidth="1" style="88" min="1537" max="1537"/>
    <col width="10" customWidth="1" style="88" min="1538" max="1538"/>
    <col width="21.5703125" customWidth="1" style="88" min="1539" max="1539"/>
    <col width="22.7109375" customWidth="1" style="88" min="1540" max="1540"/>
    <col width="0.28515625" customWidth="1" style="88" min="1541" max="1541"/>
    <col hidden="1" width="13" customWidth="1" style="88" min="1542" max="1542"/>
    <col width="9.140625" customWidth="1" style="88" min="1543" max="1545"/>
    <col width="14.140625" customWidth="1" style="88" min="1546" max="1546"/>
    <col width="9.140625" customWidth="1" style="88" min="1547" max="1790"/>
    <col width="2" customWidth="1" style="88" min="1791" max="1791"/>
    <col width="5.85546875" customWidth="1" style="88" min="1792" max="1792"/>
    <col width="38.5703125" customWidth="1" style="88" min="1793" max="1793"/>
    <col width="10" customWidth="1" style="88" min="1794" max="1794"/>
    <col width="21.5703125" customWidth="1" style="88" min="1795" max="1795"/>
    <col width="22.7109375" customWidth="1" style="88" min="1796" max="1796"/>
    <col width="0.28515625" customWidth="1" style="88" min="1797" max="1797"/>
    <col hidden="1" width="13" customWidth="1" style="88" min="1798" max="1798"/>
    <col width="9.140625" customWidth="1" style="88" min="1799" max="1801"/>
    <col width="14.140625" customWidth="1" style="88" min="1802" max="1802"/>
    <col width="9.140625" customWidth="1" style="88" min="1803" max="2046"/>
    <col width="2" customWidth="1" style="88" min="2047" max="2047"/>
    <col width="5.85546875" customWidth="1" style="88" min="2048" max="2048"/>
    <col width="38.5703125" customWidth="1" style="88" min="2049" max="2049"/>
    <col width="10" customWidth="1" style="88" min="2050" max="2050"/>
    <col width="21.5703125" customWidth="1" style="88" min="2051" max="2051"/>
    <col width="22.7109375" customWidth="1" style="88" min="2052" max="2052"/>
    <col width="0.28515625" customWidth="1" style="88" min="2053" max="2053"/>
    <col hidden="1" width="13" customWidth="1" style="88" min="2054" max="2054"/>
    <col width="9.140625" customWidth="1" style="88" min="2055" max="2057"/>
    <col width="14.140625" customWidth="1" style="88" min="2058" max="2058"/>
    <col width="9.140625" customWidth="1" style="88" min="2059" max="2302"/>
    <col width="2" customWidth="1" style="88" min="2303" max="2303"/>
    <col width="5.85546875" customWidth="1" style="88" min="2304" max="2304"/>
    <col width="38.5703125" customWidth="1" style="88" min="2305" max="2305"/>
    <col width="10" customWidth="1" style="88" min="2306" max="2306"/>
    <col width="21.5703125" customWidth="1" style="88" min="2307" max="2307"/>
    <col width="22.7109375" customWidth="1" style="88" min="2308" max="2308"/>
    <col width="0.28515625" customWidth="1" style="88" min="2309" max="2309"/>
    <col hidden="1" width="13" customWidth="1" style="88" min="2310" max="2310"/>
    <col width="9.140625" customWidth="1" style="88" min="2311" max="2313"/>
    <col width="14.140625" customWidth="1" style="88" min="2314" max="2314"/>
    <col width="9.140625" customWidth="1" style="88" min="2315" max="2558"/>
    <col width="2" customWidth="1" style="88" min="2559" max="2559"/>
    <col width="5.85546875" customWidth="1" style="88" min="2560" max="2560"/>
    <col width="38.5703125" customWidth="1" style="88" min="2561" max="2561"/>
    <col width="10" customWidth="1" style="88" min="2562" max="2562"/>
    <col width="21.5703125" customWidth="1" style="88" min="2563" max="2563"/>
    <col width="22.7109375" customWidth="1" style="88" min="2564" max="2564"/>
    <col width="0.28515625" customWidth="1" style="88" min="2565" max="2565"/>
    <col hidden="1" width="13" customWidth="1" style="88" min="2566" max="2566"/>
    <col width="9.140625" customWidth="1" style="88" min="2567" max="2569"/>
    <col width="14.140625" customWidth="1" style="88" min="2570" max="2570"/>
    <col width="9.140625" customWidth="1" style="88" min="2571" max="2814"/>
    <col width="2" customWidth="1" style="88" min="2815" max="2815"/>
    <col width="5.85546875" customWidth="1" style="88" min="2816" max="2816"/>
    <col width="38.5703125" customWidth="1" style="88" min="2817" max="2817"/>
    <col width="10" customWidth="1" style="88" min="2818" max="2818"/>
    <col width="21.5703125" customWidth="1" style="88" min="2819" max="2819"/>
    <col width="22.7109375" customWidth="1" style="88" min="2820" max="2820"/>
    <col width="0.28515625" customWidth="1" style="88" min="2821" max="2821"/>
    <col hidden="1" width="13" customWidth="1" style="88" min="2822" max="2822"/>
    <col width="9.140625" customWidth="1" style="88" min="2823" max="2825"/>
    <col width="14.140625" customWidth="1" style="88" min="2826" max="2826"/>
    <col width="9.140625" customWidth="1" style="88" min="2827" max="3070"/>
    <col width="2" customWidth="1" style="88" min="3071" max="3071"/>
    <col width="5.85546875" customWidth="1" style="88" min="3072" max="3072"/>
    <col width="38.5703125" customWidth="1" style="88" min="3073" max="3073"/>
    <col width="10" customWidth="1" style="88" min="3074" max="3074"/>
    <col width="21.5703125" customWidth="1" style="88" min="3075" max="3075"/>
    <col width="22.7109375" customWidth="1" style="88" min="3076" max="3076"/>
    <col width="0.28515625" customWidth="1" style="88" min="3077" max="3077"/>
    <col hidden="1" width="13" customWidth="1" style="88" min="3078" max="3078"/>
    <col width="9.140625" customWidth="1" style="88" min="3079" max="3081"/>
    <col width="14.140625" customWidth="1" style="88" min="3082" max="3082"/>
    <col width="9.140625" customWidth="1" style="88" min="3083" max="3326"/>
    <col width="2" customWidth="1" style="88" min="3327" max="3327"/>
    <col width="5.85546875" customWidth="1" style="88" min="3328" max="3328"/>
    <col width="38.5703125" customWidth="1" style="88" min="3329" max="3329"/>
    <col width="10" customWidth="1" style="88" min="3330" max="3330"/>
    <col width="21.5703125" customWidth="1" style="88" min="3331" max="3331"/>
    <col width="22.7109375" customWidth="1" style="88" min="3332" max="3332"/>
    <col width="0.28515625" customWidth="1" style="88" min="3333" max="3333"/>
    <col hidden="1" width="13" customWidth="1" style="88" min="3334" max="3334"/>
    <col width="9.140625" customWidth="1" style="88" min="3335" max="3337"/>
    <col width="14.140625" customWidth="1" style="88" min="3338" max="3338"/>
    <col width="9.140625" customWidth="1" style="88" min="3339" max="3582"/>
    <col width="2" customWidth="1" style="88" min="3583" max="3583"/>
    <col width="5.85546875" customWidth="1" style="88" min="3584" max="3584"/>
    <col width="38.5703125" customWidth="1" style="88" min="3585" max="3585"/>
    <col width="10" customWidth="1" style="88" min="3586" max="3586"/>
    <col width="21.5703125" customWidth="1" style="88" min="3587" max="3587"/>
    <col width="22.7109375" customWidth="1" style="88" min="3588" max="3588"/>
    <col width="0.28515625" customWidth="1" style="88" min="3589" max="3589"/>
    <col hidden="1" width="13" customWidth="1" style="88" min="3590" max="3590"/>
    <col width="9.140625" customWidth="1" style="88" min="3591" max="3593"/>
    <col width="14.140625" customWidth="1" style="88" min="3594" max="3594"/>
    <col width="9.140625" customWidth="1" style="88" min="3595" max="3838"/>
    <col width="2" customWidth="1" style="88" min="3839" max="3839"/>
    <col width="5.85546875" customWidth="1" style="88" min="3840" max="3840"/>
    <col width="38.5703125" customWidth="1" style="88" min="3841" max="3841"/>
    <col width="10" customWidth="1" style="88" min="3842" max="3842"/>
    <col width="21.5703125" customWidth="1" style="88" min="3843" max="3843"/>
    <col width="22.7109375" customWidth="1" style="88" min="3844" max="3844"/>
    <col width="0.28515625" customWidth="1" style="88" min="3845" max="3845"/>
    <col hidden="1" width="13" customWidth="1" style="88" min="3846" max="3846"/>
    <col width="9.140625" customWidth="1" style="88" min="3847" max="3849"/>
    <col width="14.140625" customWidth="1" style="88" min="3850" max="3850"/>
    <col width="9.140625" customWidth="1" style="88" min="3851" max="4094"/>
    <col width="2" customWidth="1" style="88" min="4095" max="4095"/>
    <col width="5.85546875" customWidth="1" style="88" min="4096" max="4096"/>
    <col width="38.5703125" customWidth="1" style="88" min="4097" max="4097"/>
    <col width="10" customWidth="1" style="88" min="4098" max="4098"/>
    <col width="21.5703125" customWidth="1" style="88" min="4099" max="4099"/>
    <col width="22.7109375" customWidth="1" style="88" min="4100" max="4100"/>
    <col width="0.28515625" customWidth="1" style="88" min="4101" max="4101"/>
    <col hidden="1" width="13" customWidth="1" style="88" min="4102" max="4102"/>
    <col width="9.140625" customWidth="1" style="88" min="4103" max="4105"/>
    <col width="14.140625" customWidth="1" style="88" min="4106" max="4106"/>
    <col width="9.140625" customWidth="1" style="88" min="4107" max="4350"/>
    <col width="2" customWidth="1" style="88" min="4351" max="4351"/>
    <col width="5.85546875" customWidth="1" style="88" min="4352" max="4352"/>
    <col width="38.5703125" customWidth="1" style="88" min="4353" max="4353"/>
    <col width="10" customWidth="1" style="88" min="4354" max="4354"/>
    <col width="21.5703125" customWidth="1" style="88" min="4355" max="4355"/>
    <col width="22.7109375" customWidth="1" style="88" min="4356" max="4356"/>
    <col width="0.28515625" customWidth="1" style="88" min="4357" max="4357"/>
    <col hidden="1" width="13" customWidth="1" style="88" min="4358" max="4358"/>
    <col width="9.140625" customWidth="1" style="88" min="4359" max="4361"/>
    <col width="14.140625" customWidth="1" style="88" min="4362" max="4362"/>
    <col width="9.140625" customWidth="1" style="88" min="4363" max="4606"/>
    <col width="2" customWidth="1" style="88" min="4607" max="4607"/>
    <col width="5.85546875" customWidth="1" style="88" min="4608" max="4608"/>
    <col width="38.5703125" customWidth="1" style="88" min="4609" max="4609"/>
    <col width="10" customWidth="1" style="88" min="4610" max="4610"/>
    <col width="21.5703125" customWidth="1" style="88" min="4611" max="4611"/>
    <col width="22.7109375" customWidth="1" style="88" min="4612" max="4612"/>
    <col width="0.28515625" customWidth="1" style="88" min="4613" max="4613"/>
    <col hidden="1" width="13" customWidth="1" style="88" min="4614" max="4614"/>
    <col width="9.140625" customWidth="1" style="88" min="4615" max="4617"/>
    <col width="14.140625" customWidth="1" style="88" min="4618" max="4618"/>
    <col width="9.140625" customWidth="1" style="88" min="4619" max="4862"/>
    <col width="2" customWidth="1" style="88" min="4863" max="4863"/>
    <col width="5.85546875" customWidth="1" style="88" min="4864" max="4864"/>
    <col width="38.5703125" customWidth="1" style="88" min="4865" max="4865"/>
    <col width="10" customWidth="1" style="88" min="4866" max="4866"/>
    <col width="21.5703125" customWidth="1" style="88" min="4867" max="4867"/>
    <col width="22.7109375" customWidth="1" style="88" min="4868" max="4868"/>
    <col width="0.28515625" customWidth="1" style="88" min="4869" max="4869"/>
    <col hidden="1" width="13" customWidth="1" style="88" min="4870" max="4870"/>
    <col width="9.140625" customWidth="1" style="88" min="4871" max="4873"/>
    <col width="14.140625" customWidth="1" style="88" min="4874" max="4874"/>
    <col width="9.140625" customWidth="1" style="88" min="4875" max="5118"/>
    <col width="2" customWidth="1" style="88" min="5119" max="5119"/>
    <col width="5.85546875" customWidth="1" style="88" min="5120" max="5120"/>
    <col width="38.5703125" customWidth="1" style="88" min="5121" max="5121"/>
    <col width="10" customWidth="1" style="88" min="5122" max="5122"/>
    <col width="21.5703125" customWidth="1" style="88" min="5123" max="5123"/>
    <col width="22.7109375" customWidth="1" style="88" min="5124" max="5124"/>
    <col width="0.28515625" customWidth="1" style="88" min="5125" max="5125"/>
    <col hidden="1" width="13" customWidth="1" style="88" min="5126" max="5126"/>
    <col width="9.140625" customWidth="1" style="88" min="5127" max="5129"/>
    <col width="14.140625" customWidth="1" style="88" min="5130" max="5130"/>
    <col width="9.140625" customWidth="1" style="88" min="5131" max="5374"/>
    <col width="2" customWidth="1" style="88" min="5375" max="5375"/>
    <col width="5.85546875" customWidth="1" style="88" min="5376" max="5376"/>
    <col width="38.5703125" customWidth="1" style="88" min="5377" max="5377"/>
    <col width="10" customWidth="1" style="88" min="5378" max="5378"/>
    <col width="21.5703125" customWidth="1" style="88" min="5379" max="5379"/>
    <col width="22.7109375" customWidth="1" style="88" min="5380" max="5380"/>
    <col width="0.28515625" customWidth="1" style="88" min="5381" max="5381"/>
    <col hidden="1" width="13" customWidth="1" style="88" min="5382" max="5382"/>
    <col width="9.140625" customWidth="1" style="88" min="5383" max="5385"/>
    <col width="14.140625" customWidth="1" style="88" min="5386" max="5386"/>
    <col width="9.140625" customWidth="1" style="88" min="5387" max="5630"/>
    <col width="2" customWidth="1" style="88" min="5631" max="5631"/>
    <col width="5.85546875" customWidth="1" style="88" min="5632" max="5632"/>
    <col width="38.5703125" customWidth="1" style="88" min="5633" max="5633"/>
    <col width="10" customWidth="1" style="88" min="5634" max="5634"/>
    <col width="21.5703125" customWidth="1" style="88" min="5635" max="5635"/>
    <col width="22.7109375" customWidth="1" style="88" min="5636" max="5636"/>
    <col width="0.28515625" customWidth="1" style="88" min="5637" max="5637"/>
    <col hidden="1" width="13" customWidth="1" style="88" min="5638" max="5638"/>
    <col width="9.140625" customWidth="1" style="88" min="5639" max="5641"/>
    <col width="14.140625" customWidth="1" style="88" min="5642" max="5642"/>
    <col width="9.140625" customWidth="1" style="88" min="5643" max="5886"/>
    <col width="2" customWidth="1" style="88" min="5887" max="5887"/>
    <col width="5.85546875" customWidth="1" style="88" min="5888" max="5888"/>
    <col width="38.5703125" customWidth="1" style="88" min="5889" max="5889"/>
    <col width="10" customWidth="1" style="88" min="5890" max="5890"/>
    <col width="21.5703125" customWidth="1" style="88" min="5891" max="5891"/>
    <col width="22.7109375" customWidth="1" style="88" min="5892" max="5892"/>
    <col width="0.28515625" customWidth="1" style="88" min="5893" max="5893"/>
    <col hidden="1" width="13" customWidth="1" style="88" min="5894" max="5894"/>
    <col width="9.140625" customWidth="1" style="88" min="5895" max="5897"/>
    <col width="14.140625" customWidth="1" style="88" min="5898" max="5898"/>
    <col width="9.140625" customWidth="1" style="88" min="5899" max="6142"/>
    <col width="2" customWidth="1" style="88" min="6143" max="6143"/>
    <col width="5.85546875" customWidth="1" style="88" min="6144" max="6144"/>
    <col width="38.5703125" customWidth="1" style="88" min="6145" max="6145"/>
    <col width="10" customWidth="1" style="88" min="6146" max="6146"/>
    <col width="21.5703125" customWidth="1" style="88" min="6147" max="6147"/>
    <col width="22.7109375" customWidth="1" style="88" min="6148" max="6148"/>
    <col width="0.28515625" customWidth="1" style="88" min="6149" max="6149"/>
    <col hidden="1" width="13" customWidth="1" style="88" min="6150" max="6150"/>
    <col width="9.140625" customWidth="1" style="88" min="6151" max="6153"/>
    <col width="14.140625" customWidth="1" style="88" min="6154" max="6154"/>
    <col width="9.140625" customWidth="1" style="88" min="6155" max="6398"/>
    <col width="2" customWidth="1" style="88" min="6399" max="6399"/>
    <col width="5.85546875" customWidth="1" style="88" min="6400" max="6400"/>
    <col width="38.5703125" customWidth="1" style="88" min="6401" max="6401"/>
    <col width="10" customWidth="1" style="88" min="6402" max="6402"/>
    <col width="21.5703125" customWidth="1" style="88" min="6403" max="6403"/>
    <col width="22.7109375" customWidth="1" style="88" min="6404" max="6404"/>
    <col width="0.28515625" customWidth="1" style="88" min="6405" max="6405"/>
    <col hidden="1" width="13" customWidth="1" style="88" min="6406" max="6406"/>
    <col width="9.140625" customWidth="1" style="88" min="6407" max="6409"/>
    <col width="14.140625" customWidth="1" style="88" min="6410" max="6410"/>
    <col width="9.140625" customWidth="1" style="88" min="6411" max="6654"/>
    <col width="2" customWidth="1" style="88" min="6655" max="6655"/>
    <col width="5.85546875" customWidth="1" style="88" min="6656" max="6656"/>
    <col width="38.5703125" customWidth="1" style="88" min="6657" max="6657"/>
    <col width="10" customWidth="1" style="88" min="6658" max="6658"/>
    <col width="21.5703125" customWidth="1" style="88" min="6659" max="6659"/>
    <col width="22.7109375" customWidth="1" style="88" min="6660" max="6660"/>
    <col width="0.28515625" customWidth="1" style="88" min="6661" max="6661"/>
    <col hidden="1" width="13" customWidth="1" style="88" min="6662" max="6662"/>
    <col width="9.140625" customWidth="1" style="88" min="6663" max="6665"/>
    <col width="14.140625" customWidth="1" style="88" min="6666" max="6666"/>
    <col width="9.140625" customWidth="1" style="88" min="6667" max="6910"/>
    <col width="2" customWidth="1" style="88" min="6911" max="6911"/>
    <col width="5.85546875" customWidth="1" style="88" min="6912" max="6912"/>
    <col width="38.5703125" customWidth="1" style="88" min="6913" max="6913"/>
    <col width="10" customWidth="1" style="88" min="6914" max="6914"/>
    <col width="21.5703125" customWidth="1" style="88" min="6915" max="6915"/>
    <col width="22.7109375" customWidth="1" style="88" min="6916" max="6916"/>
    <col width="0.28515625" customWidth="1" style="88" min="6917" max="6917"/>
    <col hidden="1" width="13" customWidth="1" style="88" min="6918" max="6918"/>
    <col width="9.140625" customWidth="1" style="88" min="6919" max="6921"/>
    <col width="14.140625" customWidth="1" style="88" min="6922" max="6922"/>
    <col width="9.140625" customWidth="1" style="88" min="6923" max="7166"/>
    <col width="2" customWidth="1" style="88" min="7167" max="7167"/>
    <col width="5.85546875" customWidth="1" style="88" min="7168" max="7168"/>
    <col width="38.5703125" customWidth="1" style="88" min="7169" max="7169"/>
    <col width="10" customWidth="1" style="88" min="7170" max="7170"/>
    <col width="21.5703125" customWidth="1" style="88" min="7171" max="7171"/>
    <col width="22.7109375" customWidth="1" style="88" min="7172" max="7172"/>
    <col width="0.28515625" customWidth="1" style="88" min="7173" max="7173"/>
    <col hidden="1" width="13" customWidth="1" style="88" min="7174" max="7174"/>
    <col width="9.140625" customWidth="1" style="88" min="7175" max="7177"/>
    <col width="14.140625" customWidth="1" style="88" min="7178" max="7178"/>
    <col width="9.140625" customWidth="1" style="88" min="7179" max="7422"/>
    <col width="2" customWidth="1" style="88" min="7423" max="7423"/>
    <col width="5.85546875" customWidth="1" style="88" min="7424" max="7424"/>
    <col width="38.5703125" customWidth="1" style="88" min="7425" max="7425"/>
    <col width="10" customWidth="1" style="88" min="7426" max="7426"/>
    <col width="21.5703125" customWidth="1" style="88" min="7427" max="7427"/>
    <col width="22.7109375" customWidth="1" style="88" min="7428" max="7428"/>
    <col width="0.28515625" customWidth="1" style="88" min="7429" max="7429"/>
    <col hidden="1" width="13" customWidth="1" style="88" min="7430" max="7430"/>
    <col width="9.140625" customWidth="1" style="88" min="7431" max="7433"/>
    <col width="14.140625" customWidth="1" style="88" min="7434" max="7434"/>
    <col width="9.140625" customWidth="1" style="88" min="7435" max="7678"/>
    <col width="2" customWidth="1" style="88" min="7679" max="7679"/>
    <col width="5.85546875" customWidth="1" style="88" min="7680" max="7680"/>
    <col width="38.5703125" customWidth="1" style="88" min="7681" max="7681"/>
    <col width="10" customWidth="1" style="88" min="7682" max="7682"/>
    <col width="21.5703125" customWidth="1" style="88" min="7683" max="7683"/>
    <col width="22.7109375" customWidth="1" style="88" min="7684" max="7684"/>
    <col width="0.28515625" customWidth="1" style="88" min="7685" max="7685"/>
    <col hidden="1" width="13" customWidth="1" style="88" min="7686" max="7686"/>
    <col width="9.140625" customWidth="1" style="88" min="7687" max="7689"/>
    <col width="14.140625" customWidth="1" style="88" min="7690" max="7690"/>
    <col width="9.140625" customWidth="1" style="88" min="7691" max="7934"/>
    <col width="2" customWidth="1" style="88" min="7935" max="7935"/>
    <col width="5.85546875" customWidth="1" style="88" min="7936" max="7936"/>
    <col width="38.5703125" customWidth="1" style="88" min="7937" max="7937"/>
    <col width="10" customWidth="1" style="88" min="7938" max="7938"/>
    <col width="21.5703125" customWidth="1" style="88" min="7939" max="7939"/>
    <col width="22.7109375" customWidth="1" style="88" min="7940" max="7940"/>
    <col width="0.28515625" customWidth="1" style="88" min="7941" max="7941"/>
    <col hidden="1" width="13" customWidth="1" style="88" min="7942" max="7942"/>
    <col width="9.140625" customWidth="1" style="88" min="7943" max="7945"/>
    <col width="14.140625" customWidth="1" style="88" min="7946" max="7946"/>
    <col width="9.140625" customWidth="1" style="88" min="7947" max="8190"/>
    <col width="2" customWidth="1" style="88" min="8191" max="8191"/>
    <col width="5.85546875" customWidth="1" style="88" min="8192" max="8192"/>
    <col width="38.5703125" customWidth="1" style="88" min="8193" max="8193"/>
    <col width="10" customWidth="1" style="88" min="8194" max="8194"/>
    <col width="21.5703125" customWidth="1" style="88" min="8195" max="8195"/>
    <col width="22.7109375" customWidth="1" style="88" min="8196" max="8196"/>
    <col width="0.28515625" customWidth="1" style="88" min="8197" max="8197"/>
    <col hidden="1" width="13" customWidth="1" style="88" min="8198" max="8198"/>
    <col width="9.140625" customWidth="1" style="88" min="8199" max="8201"/>
    <col width="14.140625" customWidth="1" style="88" min="8202" max="8202"/>
    <col width="9.140625" customWidth="1" style="88" min="8203" max="8446"/>
    <col width="2" customWidth="1" style="88" min="8447" max="8447"/>
    <col width="5.85546875" customWidth="1" style="88" min="8448" max="8448"/>
    <col width="38.5703125" customWidth="1" style="88" min="8449" max="8449"/>
    <col width="10" customWidth="1" style="88" min="8450" max="8450"/>
    <col width="21.5703125" customWidth="1" style="88" min="8451" max="8451"/>
    <col width="22.7109375" customWidth="1" style="88" min="8452" max="8452"/>
    <col width="0.28515625" customWidth="1" style="88" min="8453" max="8453"/>
    <col hidden="1" width="13" customWidth="1" style="88" min="8454" max="8454"/>
    <col width="9.140625" customWidth="1" style="88" min="8455" max="8457"/>
    <col width="14.140625" customWidth="1" style="88" min="8458" max="8458"/>
    <col width="9.140625" customWidth="1" style="88" min="8459" max="8702"/>
    <col width="2" customWidth="1" style="88" min="8703" max="8703"/>
    <col width="5.85546875" customWidth="1" style="88" min="8704" max="8704"/>
    <col width="38.5703125" customWidth="1" style="88" min="8705" max="8705"/>
    <col width="10" customWidth="1" style="88" min="8706" max="8706"/>
    <col width="21.5703125" customWidth="1" style="88" min="8707" max="8707"/>
    <col width="22.7109375" customWidth="1" style="88" min="8708" max="8708"/>
    <col width="0.28515625" customWidth="1" style="88" min="8709" max="8709"/>
    <col hidden="1" width="13" customWidth="1" style="88" min="8710" max="8710"/>
    <col width="9.140625" customWidth="1" style="88" min="8711" max="8713"/>
    <col width="14.140625" customWidth="1" style="88" min="8714" max="8714"/>
    <col width="9.140625" customWidth="1" style="88" min="8715" max="8958"/>
    <col width="2" customWidth="1" style="88" min="8959" max="8959"/>
    <col width="5.85546875" customWidth="1" style="88" min="8960" max="8960"/>
    <col width="38.5703125" customWidth="1" style="88" min="8961" max="8961"/>
    <col width="10" customWidth="1" style="88" min="8962" max="8962"/>
    <col width="21.5703125" customWidth="1" style="88" min="8963" max="8963"/>
    <col width="22.7109375" customWidth="1" style="88" min="8964" max="8964"/>
    <col width="0.28515625" customWidth="1" style="88" min="8965" max="8965"/>
    <col hidden="1" width="13" customWidth="1" style="88" min="8966" max="8966"/>
    <col width="9.140625" customWidth="1" style="88" min="8967" max="8969"/>
    <col width="14.140625" customWidth="1" style="88" min="8970" max="8970"/>
    <col width="9.140625" customWidth="1" style="88" min="8971" max="9214"/>
    <col width="2" customWidth="1" style="88" min="9215" max="9215"/>
    <col width="5.85546875" customWidth="1" style="88" min="9216" max="9216"/>
    <col width="38.5703125" customWidth="1" style="88" min="9217" max="9217"/>
    <col width="10" customWidth="1" style="88" min="9218" max="9218"/>
    <col width="21.5703125" customWidth="1" style="88" min="9219" max="9219"/>
    <col width="22.7109375" customWidth="1" style="88" min="9220" max="9220"/>
    <col width="0.28515625" customWidth="1" style="88" min="9221" max="9221"/>
    <col hidden="1" width="13" customWidth="1" style="88" min="9222" max="9222"/>
    <col width="9.140625" customWidth="1" style="88" min="9223" max="9225"/>
    <col width="14.140625" customWidth="1" style="88" min="9226" max="9226"/>
    <col width="9.140625" customWidth="1" style="88" min="9227" max="9470"/>
    <col width="2" customWidth="1" style="88" min="9471" max="9471"/>
    <col width="5.85546875" customWidth="1" style="88" min="9472" max="9472"/>
    <col width="38.5703125" customWidth="1" style="88" min="9473" max="9473"/>
    <col width="10" customWidth="1" style="88" min="9474" max="9474"/>
    <col width="21.5703125" customWidth="1" style="88" min="9475" max="9475"/>
    <col width="22.7109375" customWidth="1" style="88" min="9476" max="9476"/>
    <col width="0.28515625" customWidth="1" style="88" min="9477" max="9477"/>
    <col hidden="1" width="13" customWidth="1" style="88" min="9478" max="9478"/>
    <col width="9.140625" customWidth="1" style="88" min="9479" max="9481"/>
    <col width="14.140625" customWidth="1" style="88" min="9482" max="9482"/>
    <col width="9.140625" customWidth="1" style="88" min="9483" max="9726"/>
    <col width="2" customWidth="1" style="88" min="9727" max="9727"/>
    <col width="5.85546875" customWidth="1" style="88" min="9728" max="9728"/>
    <col width="38.5703125" customWidth="1" style="88" min="9729" max="9729"/>
    <col width="10" customWidth="1" style="88" min="9730" max="9730"/>
    <col width="21.5703125" customWidth="1" style="88" min="9731" max="9731"/>
    <col width="22.7109375" customWidth="1" style="88" min="9732" max="9732"/>
    <col width="0.28515625" customWidth="1" style="88" min="9733" max="9733"/>
    <col hidden="1" width="13" customWidth="1" style="88" min="9734" max="9734"/>
    <col width="9.140625" customWidth="1" style="88" min="9735" max="9737"/>
    <col width="14.140625" customWidth="1" style="88" min="9738" max="9738"/>
    <col width="9.140625" customWidth="1" style="88" min="9739" max="9982"/>
    <col width="2" customWidth="1" style="88" min="9983" max="9983"/>
    <col width="5.85546875" customWidth="1" style="88" min="9984" max="9984"/>
    <col width="38.5703125" customWidth="1" style="88" min="9985" max="9985"/>
    <col width="10" customWidth="1" style="88" min="9986" max="9986"/>
    <col width="21.5703125" customWidth="1" style="88" min="9987" max="9987"/>
    <col width="22.7109375" customWidth="1" style="88" min="9988" max="9988"/>
    <col width="0.28515625" customWidth="1" style="88" min="9989" max="9989"/>
    <col hidden="1" width="13" customWidth="1" style="88" min="9990" max="9990"/>
    <col width="9.140625" customWidth="1" style="88" min="9991" max="9993"/>
    <col width="14.140625" customWidth="1" style="88" min="9994" max="9994"/>
    <col width="9.140625" customWidth="1" style="88" min="9995" max="10238"/>
    <col width="2" customWidth="1" style="88" min="10239" max="10239"/>
    <col width="5.85546875" customWidth="1" style="88" min="10240" max="10240"/>
    <col width="38.5703125" customWidth="1" style="88" min="10241" max="10241"/>
    <col width="10" customWidth="1" style="88" min="10242" max="10242"/>
    <col width="21.5703125" customWidth="1" style="88" min="10243" max="10243"/>
    <col width="22.7109375" customWidth="1" style="88" min="10244" max="10244"/>
    <col width="0.28515625" customWidth="1" style="88" min="10245" max="10245"/>
    <col hidden="1" width="13" customWidth="1" style="88" min="10246" max="10246"/>
    <col width="9.140625" customWidth="1" style="88" min="10247" max="10249"/>
    <col width="14.140625" customWidth="1" style="88" min="10250" max="10250"/>
    <col width="9.140625" customWidth="1" style="88" min="10251" max="10494"/>
    <col width="2" customWidth="1" style="88" min="10495" max="10495"/>
    <col width="5.85546875" customWidth="1" style="88" min="10496" max="10496"/>
    <col width="38.5703125" customWidth="1" style="88" min="10497" max="10497"/>
    <col width="10" customWidth="1" style="88" min="10498" max="10498"/>
    <col width="21.5703125" customWidth="1" style="88" min="10499" max="10499"/>
    <col width="22.7109375" customWidth="1" style="88" min="10500" max="10500"/>
    <col width="0.28515625" customWidth="1" style="88" min="10501" max="10501"/>
    <col hidden="1" width="13" customWidth="1" style="88" min="10502" max="10502"/>
    <col width="9.140625" customWidth="1" style="88" min="10503" max="10505"/>
    <col width="14.140625" customWidth="1" style="88" min="10506" max="10506"/>
    <col width="9.140625" customWidth="1" style="88" min="10507" max="10750"/>
    <col width="2" customWidth="1" style="88" min="10751" max="10751"/>
    <col width="5.85546875" customWidth="1" style="88" min="10752" max="10752"/>
    <col width="38.5703125" customWidth="1" style="88" min="10753" max="10753"/>
    <col width="10" customWidth="1" style="88" min="10754" max="10754"/>
    <col width="21.5703125" customWidth="1" style="88" min="10755" max="10755"/>
    <col width="22.7109375" customWidth="1" style="88" min="10756" max="10756"/>
    <col width="0.28515625" customWidth="1" style="88" min="10757" max="10757"/>
    <col hidden="1" width="13" customWidth="1" style="88" min="10758" max="10758"/>
    <col width="9.140625" customWidth="1" style="88" min="10759" max="10761"/>
    <col width="14.140625" customWidth="1" style="88" min="10762" max="10762"/>
    <col width="9.140625" customWidth="1" style="88" min="10763" max="11006"/>
    <col width="2" customWidth="1" style="88" min="11007" max="11007"/>
    <col width="5.85546875" customWidth="1" style="88" min="11008" max="11008"/>
    <col width="38.5703125" customWidth="1" style="88" min="11009" max="11009"/>
    <col width="10" customWidth="1" style="88" min="11010" max="11010"/>
    <col width="21.5703125" customWidth="1" style="88" min="11011" max="11011"/>
    <col width="22.7109375" customWidth="1" style="88" min="11012" max="11012"/>
    <col width="0.28515625" customWidth="1" style="88" min="11013" max="11013"/>
    <col hidden="1" width="13" customWidth="1" style="88" min="11014" max="11014"/>
    <col width="9.140625" customWidth="1" style="88" min="11015" max="11017"/>
    <col width="14.140625" customWidth="1" style="88" min="11018" max="11018"/>
    <col width="9.140625" customWidth="1" style="88" min="11019" max="11262"/>
    <col width="2" customWidth="1" style="88" min="11263" max="11263"/>
    <col width="5.85546875" customWidth="1" style="88" min="11264" max="11264"/>
    <col width="38.5703125" customWidth="1" style="88" min="11265" max="11265"/>
    <col width="10" customWidth="1" style="88" min="11266" max="11266"/>
    <col width="21.5703125" customWidth="1" style="88" min="11267" max="11267"/>
    <col width="22.7109375" customWidth="1" style="88" min="11268" max="11268"/>
    <col width="0.28515625" customWidth="1" style="88" min="11269" max="11269"/>
    <col hidden="1" width="13" customWidth="1" style="88" min="11270" max="11270"/>
    <col width="9.140625" customWidth="1" style="88" min="11271" max="11273"/>
    <col width="14.140625" customWidth="1" style="88" min="11274" max="11274"/>
    <col width="9.140625" customWidth="1" style="88" min="11275" max="11518"/>
    <col width="2" customWidth="1" style="88" min="11519" max="11519"/>
    <col width="5.85546875" customWidth="1" style="88" min="11520" max="11520"/>
    <col width="38.5703125" customWidth="1" style="88" min="11521" max="11521"/>
    <col width="10" customWidth="1" style="88" min="11522" max="11522"/>
    <col width="21.5703125" customWidth="1" style="88" min="11523" max="11523"/>
    <col width="22.7109375" customWidth="1" style="88" min="11524" max="11524"/>
    <col width="0.28515625" customWidth="1" style="88" min="11525" max="11525"/>
    <col hidden="1" width="13" customWidth="1" style="88" min="11526" max="11526"/>
    <col width="9.140625" customWidth="1" style="88" min="11527" max="11529"/>
    <col width="14.140625" customWidth="1" style="88" min="11530" max="11530"/>
    <col width="9.140625" customWidth="1" style="88" min="11531" max="11774"/>
    <col width="2" customWidth="1" style="88" min="11775" max="11775"/>
    <col width="5.85546875" customWidth="1" style="88" min="11776" max="11776"/>
    <col width="38.5703125" customWidth="1" style="88" min="11777" max="11777"/>
    <col width="10" customWidth="1" style="88" min="11778" max="11778"/>
    <col width="21.5703125" customWidth="1" style="88" min="11779" max="11779"/>
    <col width="22.7109375" customWidth="1" style="88" min="11780" max="11780"/>
    <col width="0.28515625" customWidth="1" style="88" min="11781" max="11781"/>
    <col hidden="1" width="13" customWidth="1" style="88" min="11782" max="11782"/>
    <col width="9.140625" customWidth="1" style="88" min="11783" max="11785"/>
    <col width="14.140625" customWidth="1" style="88" min="11786" max="11786"/>
    <col width="9.140625" customWidth="1" style="88" min="11787" max="12030"/>
    <col width="2" customWidth="1" style="88" min="12031" max="12031"/>
    <col width="5.85546875" customWidth="1" style="88" min="12032" max="12032"/>
    <col width="38.5703125" customWidth="1" style="88" min="12033" max="12033"/>
    <col width="10" customWidth="1" style="88" min="12034" max="12034"/>
    <col width="21.5703125" customWidth="1" style="88" min="12035" max="12035"/>
    <col width="22.7109375" customWidth="1" style="88" min="12036" max="12036"/>
    <col width="0.28515625" customWidth="1" style="88" min="12037" max="12037"/>
    <col hidden="1" width="13" customWidth="1" style="88" min="12038" max="12038"/>
    <col width="9.140625" customWidth="1" style="88" min="12039" max="12041"/>
    <col width="14.140625" customWidth="1" style="88" min="12042" max="12042"/>
    <col width="9.140625" customWidth="1" style="88" min="12043" max="12286"/>
    <col width="2" customWidth="1" style="88" min="12287" max="12287"/>
    <col width="5.85546875" customWidth="1" style="88" min="12288" max="12288"/>
    <col width="38.5703125" customWidth="1" style="88" min="12289" max="12289"/>
    <col width="10" customWidth="1" style="88" min="12290" max="12290"/>
    <col width="21.5703125" customWidth="1" style="88" min="12291" max="12291"/>
    <col width="22.7109375" customWidth="1" style="88" min="12292" max="12292"/>
    <col width="0.28515625" customWidth="1" style="88" min="12293" max="12293"/>
    <col hidden="1" width="13" customWidth="1" style="88" min="12294" max="12294"/>
    <col width="9.140625" customWidth="1" style="88" min="12295" max="12297"/>
    <col width="14.140625" customWidth="1" style="88" min="12298" max="12298"/>
    <col width="9.140625" customWidth="1" style="88" min="12299" max="12542"/>
    <col width="2" customWidth="1" style="88" min="12543" max="12543"/>
    <col width="5.85546875" customWidth="1" style="88" min="12544" max="12544"/>
    <col width="38.5703125" customWidth="1" style="88" min="12545" max="12545"/>
    <col width="10" customWidth="1" style="88" min="12546" max="12546"/>
    <col width="21.5703125" customWidth="1" style="88" min="12547" max="12547"/>
    <col width="22.7109375" customWidth="1" style="88" min="12548" max="12548"/>
    <col width="0.28515625" customWidth="1" style="88" min="12549" max="12549"/>
    <col hidden="1" width="13" customWidth="1" style="88" min="12550" max="12550"/>
    <col width="9.140625" customWidth="1" style="88" min="12551" max="12553"/>
    <col width="14.140625" customWidth="1" style="88" min="12554" max="12554"/>
    <col width="9.140625" customWidth="1" style="88" min="12555" max="12798"/>
    <col width="2" customWidth="1" style="88" min="12799" max="12799"/>
    <col width="5.85546875" customWidth="1" style="88" min="12800" max="12800"/>
    <col width="38.5703125" customWidth="1" style="88" min="12801" max="12801"/>
    <col width="10" customWidth="1" style="88" min="12802" max="12802"/>
    <col width="21.5703125" customWidth="1" style="88" min="12803" max="12803"/>
    <col width="22.7109375" customWidth="1" style="88" min="12804" max="12804"/>
    <col width="0.28515625" customWidth="1" style="88" min="12805" max="12805"/>
    <col hidden="1" width="13" customWidth="1" style="88" min="12806" max="12806"/>
    <col width="9.140625" customWidth="1" style="88" min="12807" max="12809"/>
    <col width="14.140625" customWidth="1" style="88" min="12810" max="12810"/>
    <col width="9.140625" customWidth="1" style="88" min="12811" max="13054"/>
    <col width="2" customWidth="1" style="88" min="13055" max="13055"/>
    <col width="5.85546875" customWidth="1" style="88" min="13056" max="13056"/>
    <col width="38.5703125" customWidth="1" style="88" min="13057" max="13057"/>
    <col width="10" customWidth="1" style="88" min="13058" max="13058"/>
    <col width="21.5703125" customWidth="1" style="88" min="13059" max="13059"/>
    <col width="22.7109375" customWidth="1" style="88" min="13060" max="13060"/>
    <col width="0.28515625" customWidth="1" style="88" min="13061" max="13061"/>
    <col hidden="1" width="13" customWidth="1" style="88" min="13062" max="13062"/>
    <col width="9.140625" customWidth="1" style="88" min="13063" max="13065"/>
    <col width="14.140625" customWidth="1" style="88" min="13066" max="13066"/>
    <col width="9.140625" customWidth="1" style="88" min="13067" max="13310"/>
    <col width="2" customWidth="1" style="88" min="13311" max="13311"/>
    <col width="5.85546875" customWidth="1" style="88" min="13312" max="13312"/>
    <col width="38.5703125" customWidth="1" style="88" min="13313" max="13313"/>
    <col width="10" customWidth="1" style="88" min="13314" max="13314"/>
    <col width="21.5703125" customWidth="1" style="88" min="13315" max="13315"/>
    <col width="22.7109375" customWidth="1" style="88" min="13316" max="13316"/>
    <col width="0.28515625" customWidth="1" style="88" min="13317" max="13317"/>
    <col hidden="1" width="13" customWidth="1" style="88" min="13318" max="13318"/>
    <col width="9.140625" customWidth="1" style="88" min="13319" max="13321"/>
    <col width="14.140625" customWidth="1" style="88" min="13322" max="13322"/>
    <col width="9.140625" customWidth="1" style="88" min="13323" max="13566"/>
    <col width="2" customWidth="1" style="88" min="13567" max="13567"/>
    <col width="5.85546875" customWidth="1" style="88" min="13568" max="13568"/>
    <col width="38.5703125" customWidth="1" style="88" min="13569" max="13569"/>
    <col width="10" customWidth="1" style="88" min="13570" max="13570"/>
    <col width="21.5703125" customWidth="1" style="88" min="13571" max="13571"/>
    <col width="22.7109375" customWidth="1" style="88" min="13572" max="13572"/>
    <col width="0.28515625" customWidth="1" style="88" min="13573" max="13573"/>
    <col hidden="1" width="13" customWidth="1" style="88" min="13574" max="13574"/>
    <col width="9.140625" customWidth="1" style="88" min="13575" max="13577"/>
    <col width="14.140625" customWidth="1" style="88" min="13578" max="13578"/>
    <col width="9.140625" customWidth="1" style="88" min="13579" max="13822"/>
    <col width="2" customWidth="1" style="88" min="13823" max="13823"/>
    <col width="5.85546875" customWidth="1" style="88" min="13824" max="13824"/>
    <col width="38.5703125" customWidth="1" style="88" min="13825" max="13825"/>
    <col width="10" customWidth="1" style="88" min="13826" max="13826"/>
    <col width="21.5703125" customWidth="1" style="88" min="13827" max="13827"/>
    <col width="22.7109375" customWidth="1" style="88" min="13828" max="13828"/>
    <col width="0.28515625" customWidth="1" style="88" min="13829" max="13829"/>
    <col hidden="1" width="13" customWidth="1" style="88" min="13830" max="13830"/>
    <col width="9.140625" customWidth="1" style="88" min="13831" max="13833"/>
    <col width="14.140625" customWidth="1" style="88" min="13834" max="13834"/>
    <col width="9.140625" customWidth="1" style="88" min="13835" max="14078"/>
    <col width="2" customWidth="1" style="88" min="14079" max="14079"/>
    <col width="5.85546875" customWidth="1" style="88" min="14080" max="14080"/>
    <col width="38.5703125" customWidth="1" style="88" min="14081" max="14081"/>
    <col width="10" customWidth="1" style="88" min="14082" max="14082"/>
    <col width="21.5703125" customWidth="1" style="88" min="14083" max="14083"/>
    <col width="22.7109375" customWidth="1" style="88" min="14084" max="14084"/>
    <col width="0.28515625" customWidth="1" style="88" min="14085" max="14085"/>
    <col hidden="1" width="13" customWidth="1" style="88" min="14086" max="14086"/>
    <col width="9.140625" customWidth="1" style="88" min="14087" max="14089"/>
    <col width="14.140625" customWidth="1" style="88" min="14090" max="14090"/>
    <col width="9.140625" customWidth="1" style="88" min="14091" max="14334"/>
    <col width="2" customWidth="1" style="88" min="14335" max="14335"/>
    <col width="5.85546875" customWidth="1" style="88" min="14336" max="14336"/>
    <col width="38.5703125" customWidth="1" style="88" min="14337" max="14337"/>
    <col width="10" customWidth="1" style="88" min="14338" max="14338"/>
    <col width="21.5703125" customWidth="1" style="88" min="14339" max="14339"/>
    <col width="22.7109375" customWidth="1" style="88" min="14340" max="14340"/>
    <col width="0.28515625" customWidth="1" style="88" min="14341" max="14341"/>
    <col hidden="1" width="13" customWidth="1" style="88" min="14342" max="14342"/>
    <col width="9.140625" customWidth="1" style="88" min="14343" max="14345"/>
    <col width="14.140625" customWidth="1" style="88" min="14346" max="14346"/>
    <col width="9.140625" customWidth="1" style="88" min="14347" max="14590"/>
    <col width="2" customWidth="1" style="88" min="14591" max="14591"/>
    <col width="5.85546875" customWidth="1" style="88" min="14592" max="14592"/>
    <col width="38.5703125" customWidth="1" style="88" min="14593" max="14593"/>
    <col width="10" customWidth="1" style="88" min="14594" max="14594"/>
    <col width="21.5703125" customWidth="1" style="88" min="14595" max="14595"/>
    <col width="22.7109375" customWidth="1" style="88" min="14596" max="14596"/>
    <col width="0.28515625" customWidth="1" style="88" min="14597" max="14597"/>
    <col hidden="1" width="13" customWidth="1" style="88" min="14598" max="14598"/>
    <col width="9.140625" customWidth="1" style="88" min="14599" max="14601"/>
    <col width="14.140625" customWidth="1" style="88" min="14602" max="14602"/>
    <col width="9.140625" customWidth="1" style="88" min="14603" max="14846"/>
    <col width="2" customWidth="1" style="88" min="14847" max="14847"/>
    <col width="5.85546875" customWidth="1" style="88" min="14848" max="14848"/>
    <col width="38.5703125" customWidth="1" style="88" min="14849" max="14849"/>
    <col width="10" customWidth="1" style="88" min="14850" max="14850"/>
    <col width="21.5703125" customWidth="1" style="88" min="14851" max="14851"/>
    <col width="22.7109375" customWidth="1" style="88" min="14852" max="14852"/>
    <col width="0.28515625" customWidth="1" style="88" min="14853" max="14853"/>
    <col hidden="1" width="13" customWidth="1" style="88" min="14854" max="14854"/>
    <col width="9.140625" customWidth="1" style="88" min="14855" max="14857"/>
    <col width="14.140625" customWidth="1" style="88" min="14858" max="14858"/>
    <col width="9.140625" customWidth="1" style="88" min="14859" max="15102"/>
    <col width="2" customWidth="1" style="88" min="15103" max="15103"/>
    <col width="5.85546875" customWidth="1" style="88" min="15104" max="15104"/>
    <col width="38.5703125" customWidth="1" style="88" min="15105" max="15105"/>
    <col width="10" customWidth="1" style="88" min="15106" max="15106"/>
    <col width="21.5703125" customWidth="1" style="88" min="15107" max="15107"/>
    <col width="22.7109375" customWidth="1" style="88" min="15108" max="15108"/>
    <col width="0.28515625" customWidth="1" style="88" min="15109" max="15109"/>
    <col hidden="1" width="13" customWidth="1" style="88" min="15110" max="15110"/>
    <col width="9.140625" customWidth="1" style="88" min="15111" max="15113"/>
    <col width="14.140625" customWidth="1" style="88" min="15114" max="15114"/>
    <col width="9.140625" customWidth="1" style="88" min="15115" max="15358"/>
    <col width="2" customWidth="1" style="88" min="15359" max="15359"/>
    <col width="5.85546875" customWidth="1" style="88" min="15360" max="15360"/>
    <col width="38.5703125" customWidth="1" style="88" min="15361" max="15361"/>
    <col width="10" customWidth="1" style="88" min="15362" max="15362"/>
    <col width="21.5703125" customWidth="1" style="88" min="15363" max="15363"/>
    <col width="22.7109375" customWidth="1" style="88" min="15364" max="15364"/>
    <col width="0.28515625" customWidth="1" style="88" min="15365" max="15365"/>
    <col hidden="1" width="13" customWidth="1" style="88" min="15366" max="15366"/>
    <col width="9.140625" customWidth="1" style="88" min="15367" max="15369"/>
    <col width="14.140625" customWidth="1" style="88" min="15370" max="15370"/>
    <col width="9.140625" customWidth="1" style="88" min="15371" max="15614"/>
    <col width="2" customWidth="1" style="88" min="15615" max="15615"/>
    <col width="5.85546875" customWidth="1" style="88" min="15616" max="15616"/>
    <col width="38.5703125" customWidth="1" style="88" min="15617" max="15617"/>
    <col width="10" customWidth="1" style="88" min="15618" max="15618"/>
    <col width="21.5703125" customWidth="1" style="88" min="15619" max="15619"/>
    <col width="22.7109375" customWidth="1" style="88" min="15620" max="15620"/>
    <col width="0.28515625" customWidth="1" style="88" min="15621" max="15621"/>
    <col hidden="1" width="13" customWidth="1" style="88" min="15622" max="15622"/>
    <col width="9.140625" customWidth="1" style="88" min="15623" max="15625"/>
    <col width="14.140625" customWidth="1" style="88" min="15626" max="15626"/>
    <col width="9.140625" customWidth="1" style="88" min="15627" max="15870"/>
    <col width="2" customWidth="1" style="88" min="15871" max="15871"/>
    <col width="5.85546875" customWidth="1" style="88" min="15872" max="15872"/>
    <col width="38.5703125" customWidth="1" style="88" min="15873" max="15873"/>
    <col width="10" customWidth="1" style="88" min="15874" max="15874"/>
    <col width="21.5703125" customWidth="1" style="88" min="15875" max="15875"/>
    <col width="22.7109375" customWidth="1" style="88" min="15876" max="15876"/>
    <col width="0.28515625" customWidth="1" style="88" min="15877" max="15877"/>
    <col hidden="1" width="13" customWidth="1" style="88" min="15878" max="15878"/>
    <col width="9.140625" customWidth="1" style="88" min="15879" max="15881"/>
    <col width="14.140625" customWidth="1" style="88" min="15882" max="15882"/>
    <col width="9.140625" customWidth="1" style="88" min="15883" max="16126"/>
    <col width="2" customWidth="1" style="88" min="16127" max="16127"/>
    <col width="5.85546875" customWidth="1" style="88" min="16128" max="16128"/>
    <col width="38.5703125" customWidth="1" style="88" min="16129" max="16129"/>
    <col width="10" customWidth="1" style="88" min="16130" max="16130"/>
    <col width="21.5703125" customWidth="1" style="88" min="16131" max="16131"/>
    <col width="22.7109375" customWidth="1" style="88" min="16132" max="16132"/>
    <col width="0.28515625" customWidth="1" style="88" min="16133" max="16133"/>
    <col hidden="1" width="13" customWidth="1" style="88" min="16134" max="16134"/>
    <col width="9.140625" customWidth="1" style="88" min="16135" max="16137"/>
    <col width="14.140625" customWidth="1" style="88" min="16138" max="16138"/>
    <col width="9.140625" customWidth="1" style="88" min="16139" max="16384"/>
  </cols>
  <sheetData>
    <row r="1" ht="13.5" customHeight="1">
      <c r="A1" s="11" t="n"/>
      <c r="B1" s="98" t="inlineStr">
        <is>
          <t>Исполнитель: ООО "ЯмалСпецЦентр"</t>
        </is>
      </c>
      <c r="C1" s="32" t="n"/>
      <c r="D1" s="49" t="n"/>
      <c r="E1" s="98" t="inlineStr">
        <is>
          <t>Заказчик: АО "Газпромнефть-ННГ"</t>
        </is>
      </c>
      <c r="F1" s="56" t="n"/>
      <c r="G1" s="11" t="n"/>
      <c r="H1" s="11" t="n"/>
    </row>
    <row r="2" ht="39.75" customFormat="1" customHeight="1" s="83">
      <c r="A2" s="11" t="n"/>
      <c r="B2" s="85" t="inlineStr">
        <is>
          <t>Адрес: 629800,  Ямало-Ненецкий автономный округ г.о.  город Ноябрьск, г. Ноябрьск тер. Промузел Пелей, панель VI д. 6</t>
        </is>
      </c>
      <c r="D2" s="11" t="n"/>
      <c r="E2" s="85" t="inlineStr">
        <is>
          <t>Адрес: 629807, Ямало-Ненецкий автономный округ , 
 г. Ноябрьск, ул. Ленина, д. 59/87</t>
        </is>
      </c>
    </row>
    <row r="3" ht="15.75" customFormat="1" customHeight="1" s="83">
      <c r="A3" s="11" t="n"/>
      <c r="B3" s="98" t="inlineStr">
        <is>
          <t>ИНН: 8905050637</t>
        </is>
      </c>
      <c r="C3" s="31" t="n"/>
      <c r="D3" s="11" t="n"/>
      <c r="E3" s="98" t="inlineStr">
        <is>
          <t>ИНН: 8905000428</t>
        </is>
      </c>
      <c r="F3" s="103" t="n"/>
      <c r="G3" s="103" t="n"/>
      <c r="H3" s="103" t="n"/>
    </row>
    <row r="4" ht="15.75" customFormat="1" customHeight="1" s="83">
      <c r="A4" s="11" t="n"/>
      <c r="B4" s="98" t="inlineStr">
        <is>
          <t>КПП: 890501001</t>
        </is>
      </c>
      <c r="C4" s="31" t="n"/>
      <c r="D4" s="49" t="n"/>
      <c r="E4" s="98" t="inlineStr">
        <is>
          <t>КПП: 997250001</t>
        </is>
      </c>
      <c r="F4" s="58" t="n"/>
      <c r="G4" s="58" t="n"/>
      <c r="H4" s="58" t="n"/>
    </row>
    <row r="5" ht="13.5" customFormat="1" customHeight="1" s="83">
      <c r="A5" s="11" t="n"/>
      <c r="B5" s="91" t="inlineStr">
        <is>
          <t>Банковские реквизиты: р/с 40702810700020010172
Филиал "Центральный" Банка ВТБ (ПАО) в г. Москве к/с 30101810145250000411, БИК 044525411</t>
        </is>
      </c>
      <c r="D5" s="85" t="n"/>
      <c r="E5" s="85" t="inlineStr">
        <is>
          <t>Банковские реквизиты: р/с 40702810000000072482
Банк"ГПБ" (АО)г.Москва,  
к/с 30101810200000000823 в ГУ Банка России по ЦФО, 
БИК 044525823</t>
        </is>
      </c>
    </row>
    <row r="6" ht="44.25" customFormat="1" customHeight="1" s="83">
      <c r="A6" s="11" t="n"/>
      <c r="D6" s="85" t="n"/>
    </row>
    <row r="7" ht="15.75" customFormat="1" customHeight="1" s="83">
      <c r="A7" s="11" t="n"/>
      <c r="B7" s="90" t="n"/>
      <c r="C7" s="11" t="n"/>
      <c r="D7" s="76" t="inlineStr">
        <is>
          <t>АКТ № 2</t>
        </is>
      </c>
      <c r="E7" s="85" t="n"/>
      <c r="F7" s="26" t="n"/>
      <c r="G7" s="59" t="n"/>
      <c r="H7" s="59" t="n"/>
      <c r="I7" s="23" t="n"/>
    </row>
    <row r="8" ht="16.5" customFormat="1" customHeight="1" s="83">
      <c r="A8" s="11" t="n"/>
      <c r="B8" s="90" t="n"/>
      <c r="C8" s="60" t="n"/>
      <c r="D8" s="61" t="inlineStr">
        <is>
          <t>от "" октября 2026 г.</t>
        </is>
      </c>
      <c r="E8" s="62" t="n"/>
      <c r="F8" s="26" t="n"/>
      <c r="G8" s="59" t="n"/>
      <c r="H8" s="59" t="n"/>
      <c r="I8" s="23" t="n"/>
    </row>
    <row r="9" ht="12.75" customFormat="1" customHeight="1" s="83">
      <c r="A9" s="11" t="n"/>
      <c r="B9" s="90" t="n"/>
      <c r="C9" s="62" t="n"/>
      <c r="D9" s="62" t="inlineStr">
        <is>
          <t>сдачи-приемки оказанных услуг за октябрь 2026 г.</t>
        </is>
      </c>
      <c r="E9" s="62" t="n"/>
      <c r="F9" s="26" t="n"/>
      <c r="G9" s="59" t="n"/>
      <c r="H9" s="59" t="n"/>
      <c r="I9" s="23" t="n"/>
    </row>
    <row r="10" ht="4.5" customFormat="1" customHeight="1" s="83">
      <c r="A10" s="11" t="n"/>
      <c r="B10" s="90" t="n"/>
      <c r="C10" s="62" t="n"/>
      <c r="D10" s="62" t="n"/>
      <c r="E10" s="62" t="n"/>
      <c r="F10" s="26" t="n"/>
      <c r="G10" s="59" t="n"/>
      <c r="H10" s="59" t="n"/>
      <c r="I10" s="23" t="n"/>
    </row>
    <row r="11" ht="14.25" customFormat="1" customHeight="1" s="83">
      <c r="A11" s="11" t="n"/>
      <c r="B11" s="31" t="inlineStr">
        <is>
          <t>составлен в том, что "Исполнитель" согласно договору №  ННГ-22/10000/02048/Р от 20.12.2022 г.</t>
        </is>
      </c>
      <c r="C11" s="31" t="n"/>
      <c r="D11" s="31" t="n"/>
      <c r="E11" s="31" t="n"/>
      <c r="F11" s="31" t="n"/>
      <c r="G11" s="32" t="n"/>
      <c r="H11" s="32" t="n"/>
      <c r="I11" s="23" t="n"/>
    </row>
    <row r="12" ht="15.75" customFormat="1" customHeight="1" s="83">
      <c r="A12" s="11" t="n"/>
      <c r="B12" s="31" t="inlineStr">
        <is>
          <t>оказал услуги для АО "Газпромнефть-ННГ"</t>
        </is>
      </c>
      <c r="C12" s="31" t="n"/>
      <c r="D12" s="31" t="n"/>
      <c r="E12" s="31" t="n"/>
      <c r="F12" s="31" t="n"/>
      <c r="G12" s="11" t="n"/>
      <c r="H12" s="11" t="n"/>
    </row>
    <row r="13" ht="12.75" customHeight="1">
      <c r="A13" s="11" t="n"/>
      <c r="B13" s="87" t="inlineStr">
        <is>
          <t>№ п\п</t>
        </is>
      </c>
      <c r="C13" s="87" t="inlineStr">
        <is>
          <t>Наименование работ</t>
        </is>
      </c>
      <c r="D13" s="87" t="inlineStr">
        <is>
          <t xml:space="preserve">Кол-во </t>
        </is>
      </c>
      <c r="E13" s="87" t="inlineStr">
        <is>
          <t>Цена (руб.)</t>
        </is>
      </c>
      <c r="F13" s="87" t="inlineStr">
        <is>
          <t>Сумма без НДС (руб.)</t>
        </is>
      </c>
      <c r="G13" s="63" t="n"/>
      <c r="H13" s="11" t="n"/>
    </row>
    <row r="14" ht="12.75" customHeight="1">
      <c r="A14" s="11" t="n"/>
      <c r="G14" s="63" t="n"/>
      <c r="H14" s="11" t="n"/>
    </row>
    <row r="15" ht="3" customHeight="1">
      <c r="A15" s="11" t="n"/>
      <c r="G15" s="63" t="n"/>
      <c r="H15" s="11" t="n"/>
    </row>
    <row r="16" ht="14.25" customHeight="1">
      <c r="A16" s="11" t="n"/>
      <c r="B16" s="63" t="n">
        <v>1</v>
      </c>
      <c r="C16" s="63" t="n">
        <v>2</v>
      </c>
      <c r="D16" s="63" t="n">
        <v>3</v>
      </c>
      <c r="E16" s="63" t="n">
        <v>4</v>
      </c>
      <c r="F16" s="63" t="n">
        <v>5</v>
      </c>
      <c r="G16" s="63" t="n"/>
      <c r="H16" s="11" t="n"/>
    </row>
    <row r="17" ht="15.75" customHeight="1">
      <c r="A17" s="11" t="n"/>
      <c r="B17" s="11" t="inlineStr">
        <is>
          <t>СЕРВИСНОЕ ОБСЛУЖИВАНИЕ ОБОРУДОВАНИЯ</t>
        </is>
      </c>
      <c r="C17" s="63" t="n"/>
      <c r="D17" s="63" t="n"/>
      <c r="E17" s="49" t="n"/>
      <c r="F17" s="63" t="n"/>
      <c r="G17" s="11" t="n"/>
      <c r="H17" s="11" t="n"/>
    </row>
    <row r="18" hidden="1" ht="25.5" customHeight="1">
      <c r="A18" s="11" t="n"/>
      <c r="B18" s="63" t="n">
        <v>1</v>
      </c>
      <c r="C18" s="85" t="inlineStr">
        <is>
          <t>Агрегат турбокомпрессорный ТКА-Ц-12/0,4-6,1М1 без двигателя</t>
        </is>
      </c>
      <c r="D18" s="64" t="n"/>
      <c r="E18" s="64" t="n">
        <v>1607802</v>
      </c>
      <c r="F18" s="63">
        <f>E18*D18</f>
        <v/>
      </c>
      <c r="G18" s="11" t="n"/>
      <c r="H18" s="11" t="n"/>
    </row>
    <row r="19" hidden="1" ht="15.75" customHeight="1">
      <c r="A19" s="11" t="n"/>
      <c r="B19" s="63" t="n">
        <v>2</v>
      </c>
      <c r="C19" s="85" t="inlineStr">
        <is>
          <t>БНСП 1400-900</t>
        </is>
      </c>
      <c r="D19" s="63" t="n"/>
      <c r="E19" s="63" t="n">
        <v>194211</v>
      </c>
      <c r="F19" s="63">
        <f>E19*D19</f>
        <v/>
      </c>
      <c r="G19" s="11" t="n"/>
      <c r="H19" s="11" t="n"/>
    </row>
    <row r="20" hidden="1" ht="15.75" customHeight="1">
      <c r="A20" s="11" t="n"/>
      <c r="B20" s="63" t="n">
        <v>3</v>
      </c>
      <c r="C20" s="85" t="inlineStr">
        <is>
          <t>ГНС 700</t>
        </is>
      </c>
      <c r="D20" s="63" t="n"/>
      <c r="E20" s="87" t="n">
        <v>194211</v>
      </c>
      <c r="F20" s="63">
        <f>E20*D20</f>
        <v/>
      </c>
      <c r="G20" s="11" t="n"/>
      <c r="H20" s="11" t="n"/>
    </row>
    <row r="21" hidden="1" ht="15.75" customHeight="1">
      <c r="A21" s="11" t="n"/>
      <c r="B21" s="63" t="n">
        <v>4</v>
      </c>
      <c r="C21" s="85" t="inlineStr">
        <is>
          <t>ГНС S 100 N</t>
        </is>
      </c>
      <c r="D21" s="63" t="n"/>
      <c r="E21" s="63" t="n">
        <v>194211</v>
      </c>
      <c r="F21" s="63">
        <f>E21*D21</f>
        <v/>
      </c>
      <c r="G21" s="11" t="n"/>
      <c r="H21" s="11" t="n"/>
    </row>
    <row r="22" hidden="1" ht="15.75" customHeight="1">
      <c r="A22" s="11" t="n"/>
      <c r="B22" s="63" t="n">
        <v>5</v>
      </c>
      <c r="C22" s="85" t="inlineStr">
        <is>
          <t>ГНС S 175 N</t>
        </is>
      </c>
      <c r="D22" s="63" t="n"/>
      <c r="E22" s="63" t="n">
        <v>194211</v>
      </c>
      <c r="F22" s="63">
        <f>E22*D22</f>
        <v/>
      </c>
      <c r="G22" s="11" t="n"/>
      <c r="H22" s="11" t="n"/>
    </row>
    <row r="23" hidden="1" ht="15.75" customHeight="1">
      <c r="A23" s="11" t="n"/>
      <c r="B23" s="63" t="n">
        <v>6</v>
      </c>
      <c r="C23" s="85" t="inlineStr">
        <is>
          <t>ГНУ 3000/1900</t>
        </is>
      </c>
      <c r="D23" s="63" t="n"/>
      <c r="E23" s="63" t="n">
        <v>194211</v>
      </c>
      <c r="F23" s="63">
        <f>E23*D23</f>
        <v/>
      </c>
      <c r="G23" s="11" t="n"/>
      <c r="H23" s="11" t="n"/>
    </row>
    <row r="24" hidden="1" ht="15.75" customHeight="1">
      <c r="A24" s="11" t="n"/>
      <c r="B24" s="63" t="n">
        <v>7</v>
      </c>
      <c r="C24" s="85" t="inlineStr">
        <is>
          <t>Насос плунжерный КАМАТ тип К</t>
        </is>
      </c>
      <c r="D24" s="45" t="n"/>
      <c r="E24" s="45" t="n">
        <v>75410</v>
      </c>
      <c r="F24" s="87">
        <f>E24*D24</f>
        <v/>
      </c>
      <c r="G24" s="11" t="n"/>
      <c r="H24" s="11" t="n"/>
    </row>
    <row r="25" hidden="1" ht="15.75" customHeight="1">
      <c r="A25" s="11" t="n"/>
      <c r="B25" s="63" t="n">
        <v>8</v>
      </c>
      <c r="C25" s="85" t="inlineStr">
        <is>
          <t>Компрессор 2НВ2КТ/126/330</t>
        </is>
      </c>
      <c r="D25" s="64" t="n"/>
      <c r="E25" s="64" t="n">
        <v>65306</v>
      </c>
      <c r="F25" s="63">
        <f>E25*D25</f>
        <v/>
      </c>
      <c r="G25" s="11" t="n"/>
      <c r="H25" s="11" t="n"/>
    </row>
    <row r="26" hidden="1" ht="15.75" customHeight="1">
      <c r="A26" s="11" t="n"/>
      <c r="B26" s="63" t="n">
        <v>9</v>
      </c>
      <c r="C26" s="85" t="inlineStr">
        <is>
          <t>Компрессор 4ВУ1-5/9</t>
        </is>
      </c>
      <c r="D26" s="63" t="n"/>
      <c r="E26" s="63" t="n">
        <v>19917</v>
      </c>
      <c r="F26" s="63">
        <f>E26*D26</f>
        <v/>
      </c>
      <c r="G26" s="11" t="n"/>
      <c r="H26" s="11" t="n"/>
    </row>
    <row r="27" hidden="1" ht="15.75" customHeight="1">
      <c r="A27" s="11" t="n"/>
      <c r="B27" s="63" t="n">
        <v>10</v>
      </c>
      <c r="C27" s="85" t="inlineStr">
        <is>
          <t>Компрессор A2YI-52-16-8, К-10А2У1-52-16</t>
        </is>
      </c>
      <c r="D27" s="64" t="n"/>
      <c r="E27" s="64" t="n">
        <v>29176</v>
      </c>
      <c r="F27" s="63">
        <f>E27*D27</f>
        <v/>
      </c>
      <c r="G27" s="11" t="n"/>
      <c r="H27" s="11" t="n"/>
    </row>
    <row r="28" hidden="1" ht="15.75" customHeight="1">
      <c r="A28" s="11" t="n"/>
      <c r="B28" s="63" t="n">
        <v>11</v>
      </c>
      <c r="C28" s="85" t="inlineStr">
        <is>
          <t>Компрессор воздушный Atlas Copco ZT90VSD</t>
        </is>
      </c>
      <c r="D28" s="64" t="n"/>
      <c r="E28" s="64" t="n">
        <v>63485</v>
      </c>
      <c r="F28" s="63">
        <f>E28*D28</f>
        <v/>
      </c>
      <c r="G28" s="11" t="n"/>
      <c r="H28" s="11" t="n"/>
    </row>
    <row r="29" hidden="1" ht="15.75" customHeight="1">
      <c r="A29" s="11" t="n"/>
      <c r="B29" s="63" t="n">
        <v>12</v>
      </c>
      <c r="C29" s="85" t="inlineStr">
        <is>
          <t>Компрессор ТАКАТ 11.05;  Борец 1С2ГП;  EGSI-S-150/200 WA</t>
        </is>
      </c>
      <c r="D29" s="64" t="n"/>
      <c r="E29" s="64" t="n">
        <v>23632</v>
      </c>
      <c r="F29" s="63">
        <f>E29*D29</f>
        <v/>
      </c>
      <c r="G29" s="11" t="n"/>
      <c r="H29" s="11" t="n"/>
    </row>
    <row r="30" ht="15.75" customHeight="1">
      <c r="A30" s="11" t="n"/>
      <c r="B30" s="63" t="n">
        <v>13</v>
      </c>
      <c r="C30" s="85" t="inlineStr">
        <is>
          <t>Насос Д160-112Б</t>
        </is>
      </c>
      <c r="D30" s="64" t="n"/>
      <c r="E30" s="64" t="n">
        <v>19803</v>
      </c>
      <c r="F30" s="63">
        <f>E30*D30</f>
        <v/>
      </c>
      <c r="G30" s="11" t="n"/>
      <c r="H30" s="11" t="n"/>
    </row>
    <row r="31" ht="15.75" customHeight="1">
      <c r="A31" s="11" t="n"/>
      <c r="B31" s="63" t="n">
        <v>14</v>
      </c>
      <c r="C31" s="85" t="inlineStr">
        <is>
          <t>Насос 1 Д200-90</t>
        </is>
      </c>
      <c r="D31" s="64" t="n"/>
      <c r="E31" s="64" t="n">
        <v>19803</v>
      </c>
      <c r="F31" s="63">
        <f>E31*D31</f>
        <v/>
      </c>
      <c r="G31" s="11" t="n"/>
      <c r="H31" s="11" t="n"/>
    </row>
    <row r="32" ht="15.75" customHeight="1">
      <c r="A32" s="11" t="n"/>
      <c r="B32" s="63" t="n">
        <v>15</v>
      </c>
      <c r="C32" s="85" t="inlineStr">
        <is>
          <t>Насос 1 Д250-125</t>
        </is>
      </c>
      <c r="D32" s="45" t="n"/>
      <c r="E32" s="45" t="n">
        <v>19803</v>
      </c>
      <c r="F32" s="87">
        <f>E32*D32</f>
        <v/>
      </c>
      <c r="G32" s="11" t="n"/>
      <c r="H32" s="11" t="n"/>
    </row>
    <row r="33" ht="15.75" customHeight="1">
      <c r="A33" s="11" t="n"/>
      <c r="B33" s="63" t="n">
        <v>16</v>
      </c>
      <c r="C33" s="85" t="inlineStr">
        <is>
          <t>Насос 1 Д315-50...71</t>
        </is>
      </c>
      <c r="D33" s="64" t="n"/>
      <c r="E33" s="45" t="n">
        <v>19803</v>
      </c>
      <c r="F33" s="63">
        <f>E33*D33</f>
        <v/>
      </c>
      <c r="G33" s="11" t="n"/>
      <c r="H33" s="11" t="n"/>
    </row>
    <row r="34" ht="15.75" customHeight="1">
      <c r="A34" s="11" t="n"/>
      <c r="B34" s="63" t="n">
        <v>17</v>
      </c>
      <c r="C34" s="85" t="inlineStr">
        <is>
          <t>Насос 1 Д500-63</t>
        </is>
      </c>
      <c r="D34" s="64" t="n"/>
      <c r="E34" s="45" t="n">
        <v>19803</v>
      </c>
      <c r="F34" s="63">
        <f>E34*D34</f>
        <v/>
      </c>
      <c r="G34" s="11" t="n"/>
      <c r="H34" s="11" t="n"/>
    </row>
    <row r="35" ht="15" customHeight="1">
      <c r="A35" s="11" t="n"/>
      <c r="B35" s="63" t="n">
        <v>18</v>
      </c>
      <c r="C35" s="85" t="inlineStr">
        <is>
          <t>Насос 1 Д630-90...125</t>
        </is>
      </c>
      <c r="D35" s="64" t="n"/>
      <c r="E35" s="64" t="n">
        <v>19803</v>
      </c>
      <c r="F35" s="63">
        <f>E35*D35</f>
        <v/>
      </c>
      <c r="G35" s="11" t="n"/>
      <c r="H35" s="11" t="n"/>
    </row>
    <row r="36" ht="15" customHeight="1">
      <c r="A36" s="11" t="n"/>
      <c r="B36" s="63" t="n">
        <v>19</v>
      </c>
      <c r="C36" s="85" t="inlineStr">
        <is>
          <t>Насос 1 Д1250-63…125</t>
        </is>
      </c>
      <c r="D36" s="64" t="n"/>
      <c r="E36" s="64" t="n">
        <v>21955</v>
      </c>
      <c r="F36" s="63">
        <f>E36*D36</f>
        <v/>
      </c>
      <c r="G36" s="11" t="n"/>
      <c r="H36" s="11" t="n"/>
    </row>
    <row r="37" ht="15.75" customHeight="1">
      <c r="A37" s="11" t="n"/>
      <c r="B37" s="63" t="n">
        <v>20</v>
      </c>
      <c r="C37" s="85" t="inlineStr">
        <is>
          <t>Насос 12НА-9х4</t>
        </is>
      </c>
      <c r="D37" s="64" t="n"/>
      <c r="E37" s="64" t="n">
        <v>5393</v>
      </c>
      <c r="F37" s="63">
        <f>E37*D37</f>
        <v/>
      </c>
      <c r="G37" s="11" t="n"/>
      <c r="H37" s="11" t="n"/>
    </row>
    <row r="38" hidden="1" ht="15.75" customHeight="1">
      <c r="A38" s="11" t="n"/>
      <c r="B38" s="63" t="n">
        <v>21</v>
      </c>
      <c r="C38" s="85" t="inlineStr">
        <is>
          <t>Насос 1АСВН-80АМ(С)/6</t>
        </is>
      </c>
      <c r="D38" s="64" t="n"/>
      <c r="E38" s="64" t="n">
        <v>17002</v>
      </c>
      <c r="F38" s="63">
        <f>E38*D38</f>
        <v/>
      </c>
      <c r="G38" s="11" t="n"/>
      <c r="H38" s="11" t="n"/>
    </row>
    <row r="39" hidden="1" ht="15.75" customHeight="1">
      <c r="A39" s="11" t="n"/>
      <c r="B39" s="63" t="n">
        <v>22</v>
      </c>
      <c r="C39" s="65" t="inlineStr">
        <is>
          <t>Насос 20А-18-1-11</t>
        </is>
      </c>
      <c r="D39" s="45" t="n"/>
      <c r="E39" s="45" t="n">
        <v>30548</v>
      </c>
      <c r="F39" s="87">
        <f>E39*D39</f>
        <v/>
      </c>
      <c r="G39" s="11" t="n"/>
      <c r="H39" s="11" t="n"/>
    </row>
    <row r="40" hidden="1" ht="15.75" customHeight="1">
      <c r="A40" s="11" t="n"/>
      <c r="B40" s="63" t="n">
        <v>23</v>
      </c>
      <c r="C40" s="85" t="inlineStr">
        <is>
          <t>Насос BUL 6,3/64</t>
        </is>
      </c>
      <c r="D40" s="64" t="n"/>
      <c r="E40" s="64" t="n">
        <v>1479</v>
      </c>
      <c r="F40" s="63">
        <f>E40*D40</f>
        <v/>
      </c>
      <c r="G40" s="11" t="n"/>
      <c r="H40" s="11" t="n"/>
    </row>
    <row r="41" hidden="1" ht="15.75" customHeight="1">
      <c r="A41" s="11" t="n"/>
      <c r="B41" s="63" t="n">
        <v>24</v>
      </c>
      <c r="C41" s="85" t="inlineStr">
        <is>
          <t>Насос CR15-02</t>
        </is>
      </c>
      <c r="D41" s="64" t="n"/>
      <c r="E41" s="64" t="n">
        <v>12852</v>
      </c>
      <c r="F41" s="63">
        <f>E41*D41</f>
        <v/>
      </c>
      <c r="G41" s="11" t="n"/>
      <c r="H41" s="11" t="n"/>
    </row>
    <row r="42" hidden="1" ht="15.75" customHeight="1">
      <c r="A42" s="11" t="n"/>
      <c r="B42" s="63" t="n">
        <v>25</v>
      </c>
      <c r="C42" s="85" t="inlineStr">
        <is>
          <t>Насос CRE20-01</t>
        </is>
      </c>
      <c r="D42" s="64" t="n"/>
      <c r="E42" s="64" t="n">
        <v>12852</v>
      </c>
      <c r="F42" s="63">
        <f>E42*D42</f>
        <v/>
      </c>
      <c r="G42" s="11" t="n"/>
      <c r="H42" s="11" t="n"/>
    </row>
    <row r="43" hidden="1" ht="15.75" customHeight="1">
      <c r="A43" s="11" t="n"/>
      <c r="B43" s="63" t="n">
        <v>26</v>
      </c>
      <c r="C43" s="85" t="inlineStr">
        <is>
          <t>Насос KRGH 40/315; KRGH 80/315, KRGH 200/500</t>
        </is>
      </c>
      <c r="D43" s="64" t="n"/>
      <c r="E43" s="64" t="n">
        <v>22284</v>
      </c>
      <c r="F43" s="63">
        <f>E43*D43</f>
        <v/>
      </c>
      <c r="G43" s="11" t="n"/>
      <c r="H43" s="11" t="n"/>
    </row>
    <row r="44" hidden="1" ht="15.75" customHeight="1">
      <c r="A44" s="11" t="n"/>
      <c r="B44" s="63" t="n">
        <v>27</v>
      </c>
      <c r="C44" s="85" t="inlineStr">
        <is>
          <t xml:space="preserve">Насос NF50BP </t>
        </is>
      </c>
      <c r="D44" s="64" t="n"/>
      <c r="E44" s="64" t="n">
        <v>22284</v>
      </c>
      <c r="F44" s="63">
        <f>E44*D44</f>
        <v/>
      </c>
      <c r="G44" s="11" t="n"/>
      <c r="H44" s="11" t="n"/>
    </row>
    <row r="45" hidden="1" ht="15.75" customHeight="1">
      <c r="A45" s="11" t="n"/>
      <c r="B45" s="63" t="n">
        <v>28</v>
      </c>
      <c r="C45" s="85" t="inlineStr">
        <is>
          <t>Насос NM038BT02S12B</t>
        </is>
      </c>
      <c r="D45" s="64" t="n"/>
      <c r="E45" s="64" t="n">
        <v>30548</v>
      </c>
      <c r="F45" s="63">
        <f>E45*D45</f>
        <v/>
      </c>
      <c r="G45" s="11" t="n"/>
      <c r="H45" s="11" t="n"/>
    </row>
    <row r="46" hidden="1" ht="15.75" customHeight="1">
      <c r="A46" s="11" t="n"/>
      <c r="B46" s="63" t="n">
        <v>29</v>
      </c>
      <c r="C46" s="85" t="inlineStr">
        <is>
          <t>Насос PIAX 32/28</t>
        </is>
      </c>
      <c r="D46" s="64" t="n"/>
      <c r="E46" s="64" t="n">
        <v>1997</v>
      </c>
      <c r="F46" s="63">
        <f>E46*D46</f>
        <v/>
      </c>
      <c r="G46" s="11" t="n"/>
      <c r="H46" s="11" t="n"/>
    </row>
    <row r="47" hidden="1" ht="15.75" customHeight="1">
      <c r="A47" s="11" t="n"/>
      <c r="B47" s="63" t="n">
        <v>30</v>
      </c>
      <c r="C47" s="85" t="inlineStr">
        <is>
          <t>Насос PKG100L50H17 2/9C5VV3Z</t>
        </is>
      </c>
      <c r="D47" s="64" t="n"/>
      <c r="E47" s="64" t="n">
        <v>23597</v>
      </c>
      <c r="F47" s="63">
        <f>E47*D47</f>
        <v/>
      </c>
      <c r="G47" s="11" t="n"/>
      <c r="H47" s="11" t="n"/>
    </row>
    <row r="48" hidden="1" ht="15.75" customHeight="1">
      <c r="A48" s="11" t="n"/>
      <c r="B48" s="63" t="n">
        <v>31</v>
      </c>
      <c r="C48" s="85" t="inlineStr">
        <is>
          <t>Насос SEG 40.12.2/1.502</t>
        </is>
      </c>
      <c r="D48" s="64" t="n"/>
      <c r="E48" s="45" t="n">
        <v>23597</v>
      </c>
      <c r="F48" s="63">
        <f>E48*D48</f>
        <v/>
      </c>
      <c r="G48" s="11" t="n"/>
      <c r="H48" s="11" t="n"/>
    </row>
    <row r="49" ht="15.75" customHeight="1">
      <c r="A49" s="11" t="n"/>
      <c r="B49" s="63" t="n">
        <v>32</v>
      </c>
      <c r="C49" s="85" t="inlineStr">
        <is>
          <t>Насос АХП 45/31, АХП 50-32-200…80-65-160</t>
        </is>
      </c>
      <c r="D49" s="64" t="n"/>
      <c r="E49" s="64" t="n">
        <v>5027</v>
      </c>
      <c r="F49" s="63">
        <f>E49*D49</f>
        <v/>
      </c>
      <c r="G49" s="11" t="n"/>
      <c r="H49" s="11" t="n"/>
    </row>
    <row r="50" ht="15.75" customHeight="1">
      <c r="A50" s="11" t="n"/>
      <c r="B50" s="63" t="n">
        <v>33</v>
      </c>
      <c r="C50" s="85" t="inlineStr">
        <is>
          <t>Насос ВКС 2/26</t>
        </is>
      </c>
      <c r="D50" s="64" t="n"/>
      <c r="E50" s="64" t="n">
        <v>1997</v>
      </c>
      <c r="F50" s="63">
        <f>E50*D50</f>
        <v/>
      </c>
      <c r="G50" s="11" t="n"/>
      <c r="H50" s="11" t="n"/>
    </row>
    <row r="51" ht="15.75" customHeight="1">
      <c r="A51" s="11" t="n"/>
      <c r="B51" s="63" t="n">
        <v>34</v>
      </c>
      <c r="C51" s="85" t="inlineStr">
        <is>
          <t>Насос ВНД 80/43; ВНД 50/350, ВНД 50/100, ВНД 6,3/12,5</t>
        </is>
      </c>
      <c r="D51" s="63" t="n"/>
      <c r="E51" s="63" t="n">
        <v>4245</v>
      </c>
      <c r="F51" s="63">
        <f>E51*D51</f>
        <v/>
      </c>
      <c r="G51" s="11" t="n"/>
      <c r="H51" s="11" t="n"/>
    </row>
    <row r="52" ht="27.75" customHeight="1">
      <c r="A52" s="11" t="n"/>
      <c r="B52" s="63" t="n">
        <v>35</v>
      </c>
      <c r="C52" s="85" t="inlineStr">
        <is>
          <t>Насос горизонтальный консольный типа К80-65-160…100-65-250</t>
        </is>
      </c>
      <c r="D52" s="63" t="n"/>
      <c r="E52" s="87" t="n">
        <v>4840</v>
      </c>
      <c r="F52" s="63">
        <f>E52*D52</f>
        <v/>
      </c>
      <c r="G52" s="11" t="n"/>
      <c r="H52" s="11" t="n"/>
    </row>
    <row r="53" hidden="1" ht="15.75" customHeight="1">
      <c r="A53" s="11" t="n"/>
      <c r="B53" s="63" t="n">
        <v>36</v>
      </c>
      <c r="C53" s="85" t="inlineStr">
        <is>
          <t>Насос ГХИ 6,3/32</t>
        </is>
      </c>
      <c r="D53" s="63" t="n"/>
      <c r="E53" s="63" t="n">
        <v>4670</v>
      </c>
      <c r="F53" s="63">
        <f>E53*D53</f>
        <v/>
      </c>
      <c r="G53" s="11" t="n"/>
      <c r="H53" s="11" t="n"/>
    </row>
    <row r="54" ht="15.75" customHeight="1">
      <c r="A54" s="11" t="n"/>
      <c r="B54" s="63" t="n">
        <v>37</v>
      </c>
      <c r="C54" s="85" t="inlineStr">
        <is>
          <t>Насос дозировочный типа ДП</t>
        </is>
      </c>
      <c r="D54" s="63" t="n"/>
      <c r="E54" s="63" t="n">
        <v>3213</v>
      </c>
      <c r="F54" s="63">
        <f>E54*D54</f>
        <v/>
      </c>
      <c r="G54" s="11" t="n"/>
      <c r="H54" s="11" t="n"/>
    </row>
    <row r="55" ht="15.75" customHeight="1">
      <c r="A55" s="11" t="n"/>
      <c r="B55" s="63" t="n">
        <v>38</v>
      </c>
      <c r="C55" s="85" t="inlineStr">
        <is>
          <t>Насос дозировочный типа НД 0,1…40/10...160</t>
        </is>
      </c>
      <c r="D55" s="63" t="n"/>
      <c r="E55" s="63" t="n">
        <v>5760</v>
      </c>
      <c r="F55" s="63">
        <f>E55*D55</f>
        <v/>
      </c>
      <c r="G55" s="11" t="n"/>
      <c r="H55" s="11" t="n"/>
    </row>
    <row r="56" hidden="1" ht="15.75" customHeight="1">
      <c r="A56" s="11" t="n"/>
      <c r="B56" s="63" t="n">
        <v>39</v>
      </c>
      <c r="C56" s="85" t="inlineStr">
        <is>
          <t>Насос дозировочный типа НДМ,НДХ (мембранные)</t>
        </is>
      </c>
      <c r="D56" s="45" t="n"/>
      <c r="E56" s="45" t="n">
        <v>9056</v>
      </c>
      <c r="F56" s="87">
        <f>E56*D56</f>
        <v/>
      </c>
      <c r="G56" s="11" t="n"/>
      <c r="H56" s="11" t="n"/>
    </row>
    <row r="57" hidden="1" ht="15.75" customHeight="1">
      <c r="A57" s="11" t="n"/>
      <c r="B57" s="63" t="n">
        <v>40</v>
      </c>
      <c r="C57" s="85" t="inlineStr">
        <is>
          <t>Насос дозировочный типа УН1Д-Р</t>
        </is>
      </c>
      <c r="D57" s="64" t="n"/>
      <c r="E57" s="64" t="n">
        <v>9056</v>
      </c>
      <c r="F57" s="63">
        <f>E57*D57</f>
        <v/>
      </c>
      <c r="G57" s="11" t="n"/>
      <c r="H57" s="11" t="n"/>
    </row>
    <row r="58" ht="30.75" customHeight="1">
      <c r="A58" s="11" t="n"/>
      <c r="B58" s="63" t="n">
        <v>41</v>
      </c>
      <c r="C58" s="85" t="inlineStr">
        <is>
          <t>Насос НВ-Мв-50/80; Насос НВ-Мв-Е-50/80; Насос НВ-Мт-50/80; Насос НВ-Мт-Е-50/80; НВД 50/80</t>
        </is>
      </c>
      <c r="D58" s="63" t="n"/>
      <c r="E58" s="63" t="n">
        <v>4245</v>
      </c>
      <c r="F58" s="63">
        <f>E58*D58</f>
        <v/>
      </c>
      <c r="G58" s="11" t="n"/>
      <c r="H58" s="11" t="n"/>
    </row>
    <row r="59" ht="41.25" customHeight="1">
      <c r="A59" s="11" t="n"/>
      <c r="B59" s="63" t="n">
        <v>42</v>
      </c>
      <c r="C59" s="85" t="inlineStr">
        <is>
          <t>Насос НВ-Мн-50/50; Насос НВ-Мн-Е-50/50; Насос НВ-Мт-50/50; Насос НВ-Мт-Е-50/50; НВД 50/50; Насос НВ-50/50; Насос НВ-Е-50/50</t>
        </is>
      </c>
      <c r="D59" s="45" t="n"/>
      <c r="E59" s="64" t="n">
        <v>4245</v>
      </c>
      <c r="F59" s="63">
        <f>E59*D59</f>
        <v/>
      </c>
      <c r="G59" s="11" t="n"/>
      <c r="H59" s="11" t="n"/>
    </row>
    <row r="60" ht="15" customHeight="1">
      <c r="A60" s="11" t="n"/>
      <c r="B60" s="63" t="n">
        <v>43</v>
      </c>
      <c r="C60" s="85" t="inlineStr">
        <is>
          <t xml:space="preserve">Насос НПВ 1250/60 </t>
        </is>
      </c>
      <c r="D60" s="64" t="n"/>
      <c r="E60" s="64" t="n">
        <v>183344</v>
      </c>
      <c r="F60" s="63">
        <f>E60*D60</f>
        <v/>
      </c>
      <c r="G60" s="11" t="n"/>
      <c r="H60" s="11" t="n"/>
    </row>
    <row r="61" hidden="1" ht="15.75" customHeight="1">
      <c r="A61" s="11" t="n"/>
      <c r="B61" s="63" t="n">
        <v>44</v>
      </c>
      <c r="C61" s="85" t="inlineStr">
        <is>
          <t>Насос НЦСГ-Е-5-100-П2,5; НЦСГ-Е-12,5-150 -П2,5; НЦСГ-Е-2-40-П</t>
        </is>
      </c>
      <c r="D61" s="64" t="n"/>
      <c r="E61" s="64" t="n">
        <v>78242</v>
      </c>
      <c r="F61" s="63">
        <f>E61*D61</f>
        <v/>
      </c>
      <c r="G61" s="11" t="n"/>
      <c r="H61" s="11" t="n"/>
    </row>
    <row r="62" hidden="1" ht="15.75" customHeight="1">
      <c r="A62" s="11" t="n"/>
      <c r="B62" s="63" t="n">
        <v>45</v>
      </c>
      <c r="C62" s="85" t="inlineStr">
        <is>
          <t>Насос СR 32-3-2</t>
        </is>
      </c>
      <c r="D62" s="64" t="n"/>
      <c r="E62" s="64" t="n">
        <v>4348</v>
      </c>
      <c r="F62" s="63">
        <f>E62*D62</f>
        <v/>
      </c>
      <c r="G62" s="11" t="n"/>
      <c r="H62" s="11" t="n"/>
    </row>
    <row r="63" ht="15.75" customHeight="1">
      <c r="A63" s="11" t="n"/>
      <c r="B63" s="63" t="n">
        <v>46</v>
      </c>
      <c r="C63" s="85" t="inlineStr">
        <is>
          <t>Насос типа ЦГ6,3/32-2,2-2; ЦГ 6,3/32-2,2-5; ЦГ 6,3/20-1,1-2; ЦГ 6,3/32-1,1-5</t>
        </is>
      </c>
      <c r="D63" s="64" t="n"/>
      <c r="E63" s="64" t="n">
        <v>12556</v>
      </c>
      <c r="F63" s="63">
        <f>E63*D63</f>
        <v/>
      </c>
      <c r="G63" s="11" t="n"/>
      <c r="H63" s="11" t="n"/>
    </row>
    <row r="64" hidden="1" ht="15.75" customHeight="1">
      <c r="A64" s="11" t="n"/>
      <c r="B64" s="63" t="n">
        <v>47</v>
      </c>
      <c r="C64" s="85" t="inlineStr">
        <is>
          <t>Насос ТР 100-820/2</t>
        </is>
      </c>
      <c r="D64" s="45" t="n"/>
      <c r="E64" s="45" t="n">
        <v>12556</v>
      </c>
      <c r="F64" s="87">
        <f>E64*D64</f>
        <v/>
      </c>
      <c r="G64" s="11" t="n"/>
      <c r="H64" s="11" t="n"/>
    </row>
    <row r="65" hidden="1" ht="15.75" customHeight="1">
      <c r="A65" s="11" t="n"/>
      <c r="B65" s="63" t="n">
        <v>48</v>
      </c>
      <c r="C65" s="85" t="inlineStr">
        <is>
          <t>Насос ХПЕ 80-50-200</t>
        </is>
      </c>
      <c r="D65" s="64" t="n"/>
      <c r="E65" s="45" t="n">
        <v>12556</v>
      </c>
      <c r="F65" s="63">
        <f>E65*D65</f>
        <v/>
      </c>
      <c r="G65" s="11" t="n"/>
      <c r="H65" s="11" t="n"/>
    </row>
    <row r="66" ht="19.5" customHeight="1">
      <c r="A66" s="11" t="n"/>
      <c r="B66" s="63" t="n">
        <v>49</v>
      </c>
      <c r="C66" s="85" t="inlineStr">
        <is>
          <t>Насос ЦНС 105/98…490</t>
        </is>
      </c>
      <c r="D66" s="64" t="n"/>
      <c r="E66" s="45" t="n">
        <v>67101</v>
      </c>
      <c r="F66" s="63">
        <f>E66*D66</f>
        <v/>
      </c>
      <c r="G66" s="11" t="n"/>
      <c r="H66" s="11" t="n"/>
    </row>
    <row r="67" ht="16.5" customHeight="1">
      <c r="A67" s="11" t="n"/>
      <c r="B67" s="63" t="n">
        <v>50</v>
      </c>
      <c r="C67" s="85" t="inlineStr">
        <is>
          <t>Насос ЦНС 105/98…490 с торцевым уплотнением</t>
        </is>
      </c>
      <c r="D67" s="64" t="n"/>
      <c r="E67" s="64" t="n">
        <v>67101</v>
      </c>
      <c r="F67" s="63">
        <f>E67*D67</f>
        <v/>
      </c>
      <c r="G67" s="11" t="n"/>
      <c r="H67" s="11" t="n"/>
    </row>
    <row r="68" ht="15" customHeight="1">
      <c r="A68" s="11" t="n"/>
      <c r="B68" s="63" t="n">
        <v>51</v>
      </c>
      <c r="C68" s="85" t="inlineStr">
        <is>
          <t>Насос ЦНС 100...180/870…2050</t>
        </is>
      </c>
      <c r="D68" s="64" t="n"/>
      <c r="E68" s="64" t="n">
        <v>106216</v>
      </c>
      <c r="F68" s="63">
        <f>E68*D68</f>
        <v/>
      </c>
      <c r="G68" s="11" t="n"/>
      <c r="H68" s="11" t="n"/>
    </row>
    <row r="69" ht="15.75" customHeight="1">
      <c r="A69" s="11" t="n"/>
      <c r="B69" s="63" t="n">
        <v>52</v>
      </c>
      <c r="C69" s="85" t="inlineStr">
        <is>
          <t>Насос ЦНС 180/85…425</t>
        </is>
      </c>
      <c r="D69" s="64" t="n"/>
      <c r="E69" s="64" t="n">
        <v>77843</v>
      </c>
      <c r="F69" s="63">
        <f>E69*D69</f>
        <v/>
      </c>
      <c r="G69" s="11" t="n"/>
      <c r="H69" s="11" t="n"/>
    </row>
    <row r="70" ht="18.75" customHeight="1">
      <c r="A70" s="11" t="n"/>
      <c r="B70" s="63" t="n">
        <v>53</v>
      </c>
      <c r="C70" s="85" t="inlineStr">
        <is>
          <t>Насос ЦНС 180/85…425 с торцевым уплотнением</t>
        </is>
      </c>
      <c r="D70" s="64" t="n"/>
      <c r="E70" s="64" t="n">
        <v>77843</v>
      </c>
      <c r="F70" s="63" t="n"/>
      <c r="G70" s="11" t="n"/>
      <c r="H70" s="11" t="n"/>
    </row>
    <row r="71" ht="14.25" customHeight="1">
      <c r="A71" s="11" t="n"/>
      <c r="B71" s="63" t="n">
        <v>54</v>
      </c>
      <c r="C71" s="65" t="inlineStr">
        <is>
          <t xml:space="preserve">Насос ЦНС 225...280/870...1900 </t>
        </is>
      </c>
      <c r="D71" s="45" t="n"/>
      <c r="E71" s="45" t="n">
        <v>106216</v>
      </c>
      <c r="F71" s="87">
        <f>E71*D71</f>
        <v/>
      </c>
      <c r="G71" s="11" t="n"/>
      <c r="H71" s="11" t="n"/>
    </row>
    <row r="72" ht="15" customHeight="1">
      <c r="A72" s="11" t="n"/>
      <c r="B72" s="63" t="n">
        <v>55</v>
      </c>
      <c r="C72" s="85" t="inlineStr">
        <is>
          <t>Насос ЦНС 300/120…300</t>
        </is>
      </c>
      <c r="D72" s="64" t="n"/>
      <c r="E72" s="64" t="n">
        <v>92438</v>
      </c>
      <c r="F72" s="63">
        <f>E72*D72</f>
        <v/>
      </c>
      <c r="G72" s="11" t="n"/>
      <c r="H72" s="11" t="n"/>
    </row>
    <row r="73" ht="24.95" customHeight="1">
      <c r="A73" s="11" t="n"/>
      <c r="B73" s="63" t="n">
        <v>56</v>
      </c>
      <c r="C73" s="85" t="inlineStr">
        <is>
          <t>Насос ЦНС 300/120…300 с торцевым уплотнением</t>
        </is>
      </c>
      <c r="D73" s="63" t="n"/>
      <c r="E73" s="63" t="n">
        <v>92438</v>
      </c>
      <c r="F73" s="63">
        <f>E73*D73</f>
        <v/>
      </c>
      <c r="G73" s="11" t="n"/>
      <c r="H73" s="11" t="n"/>
    </row>
    <row r="74" ht="15.75" customHeight="1">
      <c r="A74" s="11" t="n"/>
      <c r="B74" s="63" t="n">
        <v>57</v>
      </c>
      <c r="C74" s="85" t="inlineStr">
        <is>
          <t>Насос ЦНС 300/360…660</t>
        </is>
      </c>
      <c r="D74" s="63" t="n"/>
      <c r="E74" s="87" t="n">
        <v>92438</v>
      </c>
      <c r="F74" s="63">
        <f>E74*D74</f>
        <v/>
      </c>
      <c r="G74" s="11" t="n"/>
      <c r="H74" s="11" t="n"/>
    </row>
    <row r="75" ht="28.5" customHeight="1">
      <c r="A75" s="11" t="n"/>
      <c r="B75" s="63" t="n">
        <v>58</v>
      </c>
      <c r="C75" s="85" t="inlineStr">
        <is>
          <t>Насос ЦНС 300/360…660 с торцевым уплотнением</t>
        </is>
      </c>
      <c r="D75" s="63" t="n"/>
      <c r="E75" s="63" t="n">
        <v>92438</v>
      </c>
      <c r="F75" s="63">
        <f>E75*D75</f>
        <v/>
      </c>
      <c r="G75" s="11" t="n"/>
      <c r="H75" s="11" t="n"/>
    </row>
    <row r="76" ht="14.25" customHeight="1">
      <c r="A76" s="11" t="n"/>
      <c r="B76" s="63" t="n">
        <v>59</v>
      </c>
      <c r="C76" s="85" t="inlineStr">
        <is>
          <t>Насос ЦНС 310-1510</t>
        </is>
      </c>
      <c r="D76" s="63" t="n"/>
      <c r="E76" s="63" t="n">
        <v>106216</v>
      </c>
      <c r="F76" s="63">
        <f>E76*D76</f>
        <v/>
      </c>
      <c r="G76" s="11" t="n"/>
      <c r="H76" s="11" t="n"/>
    </row>
    <row r="77" ht="14.25" customHeight="1">
      <c r="A77" s="11" t="n"/>
      <c r="B77" s="63" t="n">
        <v>60</v>
      </c>
      <c r="C77" s="85" t="inlineStr">
        <is>
          <t>Насос ЦНС 320-1350</t>
        </is>
      </c>
      <c r="D77" s="63" t="n"/>
      <c r="E77" s="63" t="n">
        <v>106216</v>
      </c>
      <c r="F77" s="63">
        <f>E77*D77</f>
        <v/>
      </c>
      <c r="G77" s="11" t="n"/>
      <c r="H77" s="11" t="n"/>
    </row>
    <row r="78" ht="18" customHeight="1">
      <c r="A78" s="11" t="n"/>
      <c r="B78" s="63" t="n">
        <v>61</v>
      </c>
      <c r="C78" s="85" t="inlineStr">
        <is>
          <t>Насос ЦНС 350-1650</t>
        </is>
      </c>
      <c r="D78" s="45" t="n"/>
      <c r="E78" s="45" t="n">
        <v>106216</v>
      </c>
      <c r="F78" s="87">
        <f>E78*D78</f>
        <v/>
      </c>
      <c r="G78" s="11" t="n"/>
      <c r="H78" s="11" t="n"/>
    </row>
    <row r="79" ht="17.25" customHeight="1">
      <c r="A79" s="11" t="n"/>
      <c r="B79" s="63" t="n">
        <v>62</v>
      </c>
      <c r="C79" s="85" t="inlineStr">
        <is>
          <t>Насос ЦНС 40/1400</t>
        </is>
      </c>
      <c r="D79" s="64" t="n"/>
      <c r="E79" s="64" t="n">
        <v>106216</v>
      </c>
      <c r="F79" s="63">
        <f>E79*D79</f>
        <v/>
      </c>
      <c r="G79" s="11" t="n"/>
      <c r="H79" s="11" t="n"/>
    </row>
    <row r="80" ht="15.75" customHeight="1">
      <c r="A80" s="11" t="n"/>
      <c r="B80" s="63" t="n">
        <v>63</v>
      </c>
      <c r="C80" s="85" t="inlineStr">
        <is>
          <t>Насос ЦНС-13/70…350</t>
        </is>
      </c>
      <c r="D80" s="63" t="n"/>
      <c r="E80" s="63" t="n">
        <v>46677</v>
      </c>
      <c r="F80" s="63">
        <f>E80*D80</f>
        <v/>
      </c>
      <c r="G80" s="11" t="n"/>
      <c r="H80" s="11" t="n"/>
    </row>
    <row r="81" ht="15.75" customHeight="1">
      <c r="A81" s="11" t="n"/>
      <c r="B81" s="63" t="n">
        <v>64</v>
      </c>
      <c r="C81" s="85" t="inlineStr">
        <is>
          <t>Насос ЦНС-13/70…350 с торцевым уплотнением</t>
        </is>
      </c>
      <c r="D81" s="64" t="n"/>
      <c r="E81" s="64" t="n">
        <v>46677</v>
      </c>
      <c r="F81" s="63">
        <f>E81*D81</f>
        <v/>
      </c>
      <c r="G81" s="11" t="n"/>
      <c r="H81" s="11" t="n"/>
    </row>
    <row r="82" ht="19.5" customHeight="1">
      <c r="A82" s="11" t="n"/>
      <c r="B82" s="63" t="n">
        <v>65</v>
      </c>
      <c r="C82" s="85" t="inlineStr">
        <is>
          <t>Насос ЦНС-38/44…220</t>
        </is>
      </c>
      <c r="D82" s="64" t="n"/>
      <c r="E82" s="64" t="n">
        <v>46677</v>
      </c>
      <c r="F82" s="63">
        <f>E82*D82</f>
        <v/>
      </c>
      <c r="G82" s="11" t="n"/>
      <c r="H82" s="11" t="n"/>
    </row>
    <row r="83" ht="16.5" customHeight="1">
      <c r="A83" s="11" t="n"/>
      <c r="B83" s="63" t="n">
        <v>66</v>
      </c>
      <c r="C83" s="85" t="inlineStr">
        <is>
          <t>Насос ЦНС-38/44…220 с торцевым уплотнением</t>
        </is>
      </c>
      <c r="D83" s="64" t="n"/>
      <c r="E83" s="64" t="n">
        <v>46677</v>
      </c>
      <c r="F83" s="63">
        <f>E83*D83</f>
        <v/>
      </c>
      <c r="G83" s="11" t="n"/>
      <c r="H83" s="11" t="n"/>
    </row>
    <row r="84" ht="15.75" customHeight="1">
      <c r="A84" s="11" t="n"/>
      <c r="B84" s="63" t="n">
        <v>67</v>
      </c>
      <c r="C84" s="85" t="inlineStr">
        <is>
          <t>Насос ЦНС-60/66…330</t>
        </is>
      </c>
      <c r="D84" s="64" t="n"/>
      <c r="E84" s="64" t="n">
        <v>46677</v>
      </c>
      <c r="F84" s="63">
        <f>E84*D84</f>
        <v/>
      </c>
      <c r="G84" s="11" t="n"/>
      <c r="H84" s="11" t="n"/>
    </row>
    <row r="85" ht="16.5" customHeight="1">
      <c r="A85" s="11" t="n"/>
      <c r="B85" s="63" t="n">
        <v>68</v>
      </c>
      <c r="C85" s="85" t="inlineStr">
        <is>
          <t>Насос ЦНС-60/66…330 с торцевым уплотнением</t>
        </is>
      </c>
      <c r="D85" s="64" t="n"/>
      <c r="E85" s="64" t="n">
        <v>46677</v>
      </c>
      <c r="F85" s="63">
        <f>E85*D85</f>
        <v/>
      </c>
      <c r="G85" s="11" t="n"/>
      <c r="H85" s="11" t="n"/>
    </row>
    <row r="86" ht="15.75" customHeight="1">
      <c r="A86" s="11" t="n"/>
      <c r="B86" s="63" t="n">
        <v>69</v>
      </c>
      <c r="C86" s="85" t="inlineStr">
        <is>
          <t xml:space="preserve">Насос ЦНС-63/1000...1900 </t>
        </is>
      </c>
      <c r="D86" s="45" t="n"/>
      <c r="E86" s="45" t="n">
        <v>106216</v>
      </c>
      <c r="F86" s="87">
        <f>E86*D86</f>
        <v/>
      </c>
      <c r="G86" s="11" t="n"/>
      <c r="H86" s="11" t="n"/>
    </row>
    <row r="87" ht="15.75" customHeight="1">
      <c r="A87" s="11" t="n"/>
      <c r="B87" s="63" t="n">
        <v>70</v>
      </c>
      <c r="C87" s="85" t="inlineStr">
        <is>
          <t xml:space="preserve">Насос ЦНС-90/1100...1900 </t>
        </is>
      </c>
      <c r="D87" s="64" t="n"/>
      <c r="E87" s="45" t="n">
        <v>106216</v>
      </c>
      <c r="F87" s="63">
        <f>E87*D87</f>
        <v/>
      </c>
      <c r="G87" s="11" t="n"/>
      <c r="H87" s="11" t="n"/>
    </row>
    <row r="88" ht="40.5" customHeight="1">
      <c r="A88" s="11" t="n"/>
      <c r="B88" s="63" t="n">
        <v>71</v>
      </c>
      <c r="C88" s="85" t="inlineStr">
        <is>
          <t>Насос шестеренный типа НМШ5-25-4,0/4; НМШ5-25-4,0/10; НМШ5-25-4,0/25; НМШ8-25-6,3/2,5; НМШ8-25-6,3/10; НМШ8-25-6,3/25, НШ 5/25</t>
        </is>
      </c>
      <c r="D88" s="45" t="n"/>
      <c r="E88" s="45" t="n">
        <v>3588</v>
      </c>
      <c r="F88" s="87">
        <f>E88*D88</f>
        <v/>
      </c>
      <c r="G88" s="11" t="n"/>
      <c r="H88" s="11" t="n"/>
    </row>
    <row r="89" hidden="1" ht="15.75" customHeight="1">
      <c r="A89" s="11" t="n"/>
      <c r="B89" s="63" t="n">
        <v>72</v>
      </c>
      <c r="C89" s="85" t="inlineStr">
        <is>
          <t>Поршневой компрессор К2</t>
        </is>
      </c>
      <c r="D89" s="64" t="n"/>
      <c r="E89" s="64" t="n">
        <v>5163</v>
      </c>
      <c r="F89" s="63">
        <f>E89*D89</f>
        <v/>
      </c>
      <c r="G89" s="11" t="n"/>
      <c r="H89" s="11" t="n"/>
    </row>
    <row r="90" ht="12.75" customHeight="1">
      <c r="A90" s="11" t="n"/>
      <c r="B90" s="85" t="inlineStr">
        <is>
          <t>ИТОГО:</t>
        </is>
      </c>
      <c r="D90" s="64" t="n"/>
      <c r="E90" s="64" t="n"/>
      <c r="F90" s="63">
        <f>SUM(F18:F89)</f>
        <v/>
      </c>
      <c r="G90" s="11" t="n"/>
      <c r="H90" s="11" t="n"/>
    </row>
    <row r="91" ht="18.75" customHeight="1">
      <c r="A91" s="11" t="n"/>
      <c r="B91" s="90" t="inlineStr">
        <is>
          <t>ТЕКУЩИЙ РЕМОНТ ОБОРУДОВАНИЯ</t>
        </is>
      </c>
      <c r="C91" s="85" t="n"/>
      <c r="D91" s="63" t="n"/>
      <c r="E91" s="63" t="n"/>
      <c r="F91" s="63" t="n"/>
      <c r="G91" s="11" t="n"/>
      <c r="H91" s="11" t="n"/>
    </row>
    <row r="92" hidden="1" ht="25.5" customHeight="1">
      <c r="A92" s="11" t="n"/>
      <c r="B92" s="94" t="inlineStr">
        <is>
          <t>1</t>
        </is>
      </c>
      <c r="C92" s="66" t="inlineStr">
        <is>
          <t>Агрегат турбокомпрессорный ТКА-Ц-12/0,4-6,1М1 без двигателя</t>
        </is>
      </c>
      <c r="D92" s="64" t="n"/>
      <c r="E92" s="64" t="n">
        <v>3072582</v>
      </c>
      <c r="F92" s="26">
        <f>E92*D92</f>
        <v/>
      </c>
      <c r="G92" s="11" t="n"/>
      <c r="H92" s="11" t="n"/>
    </row>
    <row r="93" hidden="1" ht="18.75" customHeight="1">
      <c r="A93" s="11" t="n"/>
      <c r="B93" s="94" t="inlineStr">
        <is>
          <t>2</t>
        </is>
      </c>
      <c r="C93" s="66" t="inlineStr">
        <is>
          <t>БНСП 1400-900</t>
        </is>
      </c>
      <c r="D93" s="64" t="n"/>
      <c r="E93" s="64" t="n">
        <v>387192</v>
      </c>
      <c r="F93" s="26">
        <f>E93*D93</f>
        <v/>
      </c>
      <c r="G93" s="11" t="n"/>
      <c r="H93" s="11" t="n"/>
    </row>
    <row r="94" hidden="1" ht="18.75" customHeight="1">
      <c r="A94" s="11" t="n"/>
      <c r="B94" s="94" t="inlineStr">
        <is>
          <t>3</t>
        </is>
      </c>
      <c r="C94" s="100" t="inlineStr">
        <is>
          <t>ГНС 700</t>
        </is>
      </c>
      <c r="D94" s="64" t="n"/>
      <c r="E94" s="64" t="n">
        <v>387192</v>
      </c>
      <c r="F94" s="26">
        <f>E94*D94</f>
        <v/>
      </c>
      <c r="G94" s="11" t="n"/>
      <c r="H94" s="11" t="n"/>
    </row>
    <row r="95" hidden="1" ht="18.75" customHeight="1">
      <c r="A95" s="11" t="n"/>
      <c r="B95" s="94" t="inlineStr">
        <is>
          <t>4</t>
        </is>
      </c>
      <c r="C95" s="66" t="inlineStr">
        <is>
          <t>ГНС S 100 N</t>
        </is>
      </c>
      <c r="D95" s="64" t="n"/>
      <c r="E95" s="64" t="n">
        <v>387192</v>
      </c>
      <c r="F95" s="26">
        <f>E95*D95</f>
        <v/>
      </c>
      <c r="G95" s="11" t="n"/>
      <c r="H95" s="11" t="n"/>
    </row>
    <row r="96" hidden="1" ht="18.75" customHeight="1">
      <c r="A96" s="11" t="n"/>
      <c r="B96" s="94" t="inlineStr">
        <is>
          <t>5</t>
        </is>
      </c>
      <c r="C96" s="66" t="inlineStr">
        <is>
          <t>ГНС S 175 N</t>
        </is>
      </c>
      <c r="D96" s="45" t="n"/>
      <c r="E96" s="64" t="n">
        <v>387192</v>
      </c>
      <c r="F96" s="26">
        <f>E96*D96</f>
        <v/>
      </c>
      <c r="G96" s="11" t="n"/>
      <c r="H96" s="11" t="n"/>
    </row>
    <row r="97" hidden="1" ht="18.75" customHeight="1">
      <c r="A97" s="11" t="n"/>
      <c r="B97" s="94" t="inlineStr">
        <is>
          <t>6</t>
        </is>
      </c>
      <c r="C97" s="100" t="inlineStr">
        <is>
          <t>ГНУ 3000/1900</t>
        </is>
      </c>
      <c r="D97" s="64" t="n"/>
      <c r="E97" s="64" t="n">
        <v>384042</v>
      </c>
      <c r="F97" s="26">
        <f>E97*D97</f>
        <v/>
      </c>
      <c r="G97" s="11" t="n"/>
      <c r="H97" s="11" t="n"/>
    </row>
    <row r="98" hidden="1" ht="18.75" customHeight="1">
      <c r="A98" s="11" t="n"/>
      <c r="B98" s="94" t="inlineStr">
        <is>
          <t>7</t>
        </is>
      </c>
      <c r="C98" s="66" t="inlineStr">
        <is>
          <t>Насос плунжерный КАМАТ тип К</t>
        </is>
      </c>
      <c r="D98" s="64" t="n"/>
      <c r="E98" s="64" t="n">
        <v>134432</v>
      </c>
      <c r="F98" s="26">
        <f>E98*D98</f>
        <v/>
      </c>
      <c r="G98" s="11" t="n"/>
      <c r="H98" s="11" t="n"/>
    </row>
    <row r="99" hidden="1" ht="18.75" customHeight="1">
      <c r="A99" s="11" t="n"/>
      <c r="B99" s="94" t="inlineStr">
        <is>
          <t>8</t>
        </is>
      </c>
      <c r="C99" s="68" t="inlineStr">
        <is>
          <t>Компрессор 2НВ2КТ/126/330</t>
        </is>
      </c>
      <c r="D99" s="64" t="n"/>
      <c r="E99" s="64" t="n">
        <v>190520</v>
      </c>
      <c r="F99" s="26">
        <f>E99*D99</f>
        <v/>
      </c>
      <c r="G99" s="11" t="n"/>
      <c r="H99" s="11" t="n"/>
    </row>
    <row r="100" hidden="1" ht="18.75" customHeight="1">
      <c r="A100" s="11" t="n"/>
      <c r="B100" s="94" t="inlineStr">
        <is>
          <t>9</t>
        </is>
      </c>
      <c r="C100" s="66" t="inlineStr">
        <is>
          <t>Компрессор 4ВУ1-5/9</t>
        </is>
      </c>
      <c r="D100" s="64" t="n"/>
      <c r="E100" s="64" t="n">
        <v>93014</v>
      </c>
      <c r="F100" s="26">
        <f>E100*D100</f>
        <v/>
      </c>
      <c r="G100" s="11" t="n"/>
      <c r="H100" s="11" t="n"/>
    </row>
    <row r="101" hidden="1" ht="18.75" customHeight="1">
      <c r="A101" s="11" t="n"/>
      <c r="B101" s="94" t="inlineStr">
        <is>
          <t>10</t>
        </is>
      </c>
      <c r="C101" s="100" t="inlineStr">
        <is>
          <t>Компрессор A2YI-52-16-8, К-10А2У1-52-16</t>
        </is>
      </c>
      <c r="D101" s="64" t="n"/>
      <c r="E101" s="64" t="n">
        <v>92141</v>
      </c>
      <c r="F101" s="26">
        <f>E101*D101</f>
        <v/>
      </c>
      <c r="G101" s="11" t="n"/>
      <c r="H101" s="11" t="n"/>
    </row>
    <row r="102" hidden="1" ht="18.75" customHeight="1">
      <c r="A102" s="11" t="n"/>
      <c r="B102" s="94" t="inlineStr">
        <is>
          <t>11</t>
        </is>
      </c>
      <c r="C102" s="66" t="inlineStr">
        <is>
          <t>Компрессор воздушный Atlas Copco ZT90VSD</t>
        </is>
      </c>
      <c r="D102" s="64" t="n"/>
      <c r="E102" s="64" t="n">
        <v>185937</v>
      </c>
      <c r="F102" s="26">
        <f>E102*D102</f>
        <v/>
      </c>
      <c r="G102" s="11" t="n"/>
      <c r="H102" s="11" t="n"/>
    </row>
    <row r="103" hidden="1" ht="18.75" customHeight="1">
      <c r="A103" s="11" t="n"/>
      <c r="B103" s="94" t="inlineStr">
        <is>
          <t>12</t>
        </is>
      </c>
      <c r="C103" s="66" t="inlineStr">
        <is>
          <t>Компрессор ТАКАТ 11.05;  Борец 1С2ГП;  EGSI-S-150/200 WA</t>
        </is>
      </c>
      <c r="D103" s="64" t="n"/>
      <c r="E103" s="64" t="n">
        <v>125875</v>
      </c>
      <c r="F103" s="26">
        <f>E103*D103</f>
        <v/>
      </c>
      <c r="G103" s="11" t="n"/>
      <c r="H103" s="11" t="n"/>
    </row>
    <row r="104" ht="18.75" customHeight="1">
      <c r="A104" s="11" t="n"/>
      <c r="B104" s="94" t="inlineStr">
        <is>
          <t>13</t>
        </is>
      </c>
      <c r="C104" s="66" t="inlineStr">
        <is>
          <t>Насос Д160-112Б</t>
        </is>
      </c>
      <c r="D104" s="64" t="n"/>
      <c r="E104" s="64" t="n">
        <v>30605</v>
      </c>
      <c r="F104" s="26">
        <f>E104*D104</f>
        <v/>
      </c>
      <c r="G104" s="11" t="n"/>
      <c r="H104" s="11" t="n"/>
    </row>
    <row r="105" ht="18.75" customHeight="1">
      <c r="A105" s="11" t="n"/>
      <c r="B105" s="94" t="inlineStr">
        <is>
          <t>14</t>
        </is>
      </c>
      <c r="C105" s="66" t="inlineStr">
        <is>
          <t>Насос 1 Д200-90</t>
        </is>
      </c>
      <c r="D105" s="64" t="n"/>
      <c r="E105" s="64" t="n">
        <v>55397</v>
      </c>
      <c r="F105" s="26">
        <f>E105*D105</f>
        <v/>
      </c>
      <c r="G105" s="11" t="n"/>
      <c r="H105" s="11" t="n"/>
    </row>
    <row r="106" ht="18.75" customHeight="1">
      <c r="A106" s="11" t="n"/>
      <c r="B106" s="94" t="inlineStr">
        <is>
          <t>15</t>
        </is>
      </c>
      <c r="C106" s="100" t="inlineStr">
        <is>
          <t>Насос 1 Д250-125</t>
        </is>
      </c>
      <c r="D106" s="64" t="n"/>
      <c r="E106" s="64" t="n">
        <v>55397</v>
      </c>
      <c r="F106" s="26">
        <f>E106*D106</f>
        <v/>
      </c>
      <c r="G106" s="11" t="n"/>
      <c r="H106" s="11" t="n"/>
    </row>
    <row r="107" ht="18.75" customHeight="1">
      <c r="A107" s="11" t="n"/>
      <c r="B107" s="94" t="inlineStr">
        <is>
          <t>16</t>
        </is>
      </c>
      <c r="C107" s="100" t="inlineStr">
        <is>
          <t>Насос 1 Д315-50...71</t>
        </is>
      </c>
      <c r="D107" s="64" t="n"/>
      <c r="E107" s="64" t="n">
        <v>55397</v>
      </c>
      <c r="F107" s="26">
        <f>E107*D107</f>
        <v/>
      </c>
      <c r="G107" s="11" t="n"/>
      <c r="H107" s="11" t="n"/>
    </row>
    <row r="108" ht="18.75" customHeight="1">
      <c r="A108" s="11" t="n"/>
      <c r="B108" s="94" t="inlineStr">
        <is>
          <t>17</t>
        </is>
      </c>
      <c r="C108" s="100" t="inlineStr">
        <is>
          <t>Насос 1 Д500-63</t>
        </is>
      </c>
      <c r="D108" s="64" t="n"/>
      <c r="E108" s="64" t="n">
        <v>55397</v>
      </c>
      <c r="F108" s="26">
        <f>E108*D108</f>
        <v/>
      </c>
      <c r="G108" s="11" t="n"/>
      <c r="H108" s="11" t="n"/>
    </row>
    <row r="109" ht="18.75" customHeight="1">
      <c r="A109" s="11" t="n"/>
      <c r="B109" s="94" t="inlineStr">
        <is>
          <t>18</t>
        </is>
      </c>
      <c r="C109" s="100" t="inlineStr">
        <is>
          <t>Насос 1 Д630-90...125</t>
        </is>
      </c>
      <c r="D109" s="64" t="n"/>
      <c r="E109" s="64" t="n">
        <v>87011</v>
      </c>
      <c r="F109" s="26">
        <f>E109*D109</f>
        <v/>
      </c>
      <c r="G109" s="11" t="n"/>
      <c r="H109" s="11" t="n"/>
    </row>
    <row r="110" ht="15.75" customHeight="1">
      <c r="A110" s="11" t="n"/>
      <c r="B110" s="94" t="inlineStr">
        <is>
          <t>19</t>
        </is>
      </c>
      <c r="C110" s="100" t="inlineStr">
        <is>
          <t>Насос 1 Д1250-63…125</t>
        </is>
      </c>
      <c r="D110" s="64" t="n"/>
      <c r="E110" s="64" t="n">
        <v>96474</v>
      </c>
      <c r="F110" s="26">
        <f>E110*D110</f>
        <v/>
      </c>
      <c r="G110" s="11" t="n"/>
      <c r="H110" s="11" t="n"/>
    </row>
    <row r="111" ht="15.75" customHeight="1">
      <c r="A111" s="11" t="n"/>
      <c r="B111" s="94" t="inlineStr">
        <is>
          <t>20</t>
        </is>
      </c>
      <c r="C111" s="66" t="inlineStr">
        <is>
          <t>Насос 12НА-9х4</t>
        </is>
      </c>
      <c r="D111" s="64" t="n"/>
      <c r="E111" s="64" t="n">
        <v>24291</v>
      </c>
      <c r="F111" s="26">
        <f>E111*D111</f>
        <v/>
      </c>
      <c r="G111" s="11" t="n"/>
      <c r="H111" s="11" t="n"/>
    </row>
    <row r="112" hidden="1" ht="15.75" customHeight="1">
      <c r="A112" s="11" t="n"/>
      <c r="B112" s="94" t="inlineStr">
        <is>
          <t>21</t>
        </is>
      </c>
      <c r="C112" s="66" t="inlineStr">
        <is>
          <t>Насос 1АСВН-80АМ(С)/6</t>
        </is>
      </c>
      <c r="D112" s="64" t="n"/>
      <c r="E112" s="64" t="n">
        <v>45206</v>
      </c>
      <c r="F112" s="26">
        <f>E112*D112</f>
        <v/>
      </c>
      <c r="G112" s="11" t="n"/>
      <c r="H112" s="11" t="n"/>
    </row>
    <row r="113" hidden="1" ht="15.75" customHeight="1">
      <c r="A113" s="11" t="n"/>
      <c r="B113" s="94" t="inlineStr">
        <is>
          <t>22</t>
        </is>
      </c>
      <c r="C113" s="66" t="inlineStr">
        <is>
          <t>Насос 20А-18-1-11</t>
        </is>
      </c>
      <c r="D113" s="64" t="n"/>
      <c r="E113" s="64" t="n">
        <v>57607</v>
      </c>
      <c r="F113" s="26">
        <f>E113*D113</f>
        <v/>
      </c>
      <c r="G113" s="11" t="n"/>
      <c r="H113" s="11" t="n"/>
    </row>
    <row r="114" hidden="1" ht="15.75" customHeight="1">
      <c r="A114" s="11" t="n"/>
      <c r="B114" s="94" t="inlineStr">
        <is>
          <t>23</t>
        </is>
      </c>
      <c r="C114" s="66" t="inlineStr">
        <is>
          <t>Насос BUL 6,3/64</t>
        </is>
      </c>
      <c r="D114" s="64" t="n"/>
      <c r="E114" s="64" t="n">
        <v>27153</v>
      </c>
      <c r="F114" s="26">
        <f>E114*D114</f>
        <v/>
      </c>
      <c r="G114" s="11" t="n"/>
      <c r="H114" s="11" t="n"/>
    </row>
    <row r="115" hidden="1" ht="15.75" customHeight="1">
      <c r="A115" s="11" t="n"/>
      <c r="B115" s="94" t="inlineStr">
        <is>
          <t>24</t>
        </is>
      </c>
      <c r="C115" s="66" t="inlineStr">
        <is>
          <t>Насос CR15-02</t>
        </is>
      </c>
      <c r="D115" s="64" t="n"/>
      <c r="E115" s="64" t="n">
        <v>78861</v>
      </c>
      <c r="F115" s="26">
        <f>E115*D115</f>
        <v/>
      </c>
      <c r="G115" s="11" t="n"/>
      <c r="H115" s="11" t="n"/>
    </row>
    <row r="116" hidden="1" ht="15.75" customHeight="1">
      <c r="A116" s="11" t="n"/>
      <c r="B116" s="94" t="inlineStr">
        <is>
          <t>25</t>
        </is>
      </c>
      <c r="C116" s="66" t="inlineStr">
        <is>
          <t>Насос CRE20-01</t>
        </is>
      </c>
      <c r="D116" s="64" t="n"/>
      <c r="E116" s="64" t="n">
        <v>78861</v>
      </c>
      <c r="F116" s="26">
        <f>E116*D116</f>
        <v/>
      </c>
      <c r="G116" s="11" t="n"/>
      <c r="H116" s="11" t="n"/>
    </row>
    <row r="117" hidden="1" ht="15.75" customHeight="1">
      <c r="A117" s="11" t="n"/>
      <c r="B117" s="94" t="inlineStr">
        <is>
          <t>26</t>
        </is>
      </c>
      <c r="C117" s="66" t="inlineStr">
        <is>
          <t>Насос KRGH 40/315; KRGH 80/315, KRGH 200/500</t>
        </is>
      </c>
      <c r="D117" s="64" t="n"/>
      <c r="E117" s="64" t="n">
        <v>60464</v>
      </c>
      <c r="F117" s="26">
        <f>E117*D117</f>
        <v/>
      </c>
      <c r="G117" s="11" t="n"/>
      <c r="H117" s="11" t="n"/>
    </row>
    <row r="118" hidden="1" ht="15.75" customHeight="1">
      <c r="A118" s="11" t="n"/>
      <c r="B118" s="94" t="inlineStr">
        <is>
          <t>27</t>
        </is>
      </c>
      <c r="C118" s="66" t="inlineStr">
        <is>
          <t xml:space="preserve">Насос NF50BP </t>
        </is>
      </c>
      <c r="D118" s="64" t="n"/>
      <c r="E118" s="64" t="n">
        <v>51902</v>
      </c>
      <c r="F118" s="26">
        <f>E118*D118</f>
        <v/>
      </c>
      <c r="G118" s="11" t="n"/>
      <c r="H118" s="11" t="n"/>
    </row>
    <row r="119" hidden="1" ht="15.75" customHeight="1">
      <c r="A119" s="11" t="n"/>
      <c r="B119" s="94" t="inlineStr">
        <is>
          <t>28</t>
        </is>
      </c>
      <c r="C119" s="66" t="inlineStr">
        <is>
          <t>Насос NM038BT02S12B</t>
        </is>
      </c>
      <c r="D119" s="64" t="n"/>
      <c r="E119" s="64" t="n">
        <v>57607</v>
      </c>
      <c r="F119" s="26">
        <f>E119*D119</f>
        <v/>
      </c>
      <c r="G119" s="11" t="n"/>
      <c r="H119" s="11" t="n"/>
    </row>
    <row r="120" hidden="1" ht="15.75" customHeight="1">
      <c r="A120" s="11" t="n"/>
      <c r="B120" s="94" t="inlineStr">
        <is>
          <t>29</t>
        </is>
      </c>
      <c r="C120" s="66" t="inlineStr">
        <is>
          <t>Насос PIAX 32/28</t>
        </is>
      </c>
      <c r="D120" s="64" t="n"/>
      <c r="E120" s="64" t="n">
        <v>26754</v>
      </c>
      <c r="F120" s="26">
        <f>E120*D120</f>
        <v/>
      </c>
      <c r="G120" s="11" t="n"/>
      <c r="H120" s="11" t="n"/>
    </row>
    <row r="121" hidden="1" ht="15.75" customHeight="1">
      <c r="A121" s="11" t="n"/>
      <c r="B121" s="94" t="inlineStr">
        <is>
          <t>30</t>
        </is>
      </c>
      <c r="C121" s="66" t="inlineStr">
        <is>
          <t>Насос PKG100L50H17 2/9C5VV3Z</t>
        </is>
      </c>
      <c r="D121" s="64" t="n"/>
      <c r="E121" s="64" t="n">
        <v>56039</v>
      </c>
      <c r="F121" s="26">
        <f>E121*D121</f>
        <v/>
      </c>
      <c r="G121" s="11" t="n"/>
      <c r="H121" s="11" t="n"/>
    </row>
    <row r="122" hidden="1" ht="15.75" customHeight="1">
      <c r="A122" s="11" t="n"/>
      <c r="B122" s="94" t="inlineStr">
        <is>
          <t>31</t>
        </is>
      </c>
      <c r="C122" s="66" t="inlineStr">
        <is>
          <t>Насос SEG 40.12.2/1.502</t>
        </is>
      </c>
      <c r="D122" s="64" t="n"/>
      <c r="E122" s="64" t="n">
        <v>56039</v>
      </c>
      <c r="F122" s="26">
        <f>E122*D122</f>
        <v/>
      </c>
      <c r="G122" s="11" t="n"/>
      <c r="H122" s="11" t="n"/>
    </row>
    <row r="123" ht="15.75" customHeight="1">
      <c r="A123" s="11" t="n"/>
      <c r="B123" s="94" t="inlineStr">
        <is>
          <t>32</t>
        </is>
      </c>
      <c r="C123" s="66" t="inlineStr">
        <is>
          <t>Насос АХП 45/31, АХП 50-32-200…80-65-160</t>
        </is>
      </c>
      <c r="D123" s="64" t="n"/>
      <c r="E123" s="64" t="n">
        <v>47979</v>
      </c>
      <c r="F123" s="26">
        <f>E123*D123</f>
        <v/>
      </c>
      <c r="G123" s="11" t="n"/>
      <c r="H123" s="11" t="n"/>
    </row>
    <row r="124" ht="15.75" customHeight="1">
      <c r="A124" s="11" t="n"/>
      <c r="B124" s="94" t="inlineStr">
        <is>
          <t>33</t>
        </is>
      </c>
      <c r="C124" s="66" t="inlineStr">
        <is>
          <t>Насос ВКС 2/26</t>
        </is>
      </c>
      <c r="D124" s="64" t="n"/>
      <c r="E124" s="64" t="n">
        <v>11306</v>
      </c>
      <c r="F124" s="26">
        <f>E124*D124</f>
        <v/>
      </c>
      <c r="G124" s="11" t="n"/>
      <c r="H124" s="11" t="n"/>
    </row>
    <row r="125" ht="15.75" customHeight="1">
      <c r="A125" s="11" t="n"/>
      <c r="B125" s="94" t="inlineStr">
        <is>
          <t>34</t>
        </is>
      </c>
      <c r="C125" s="66" t="inlineStr">
        <is>
          <t>Насос ВНД 80/43; ВНД 50/350, ВНД 50/100, ВНД 6,3/12,5</t>
        </is>
      </c>
      <c r="D125" s="64" t="n"/>
      <c r="E125" s="64" t="n">
        <v>51407</v>
      </c>
      <c r="F125" s="26">
        <f>E125*D125</f>
        <v/>
      </c>
      <c r="G125" s="11" t="n"/>
      <c r="H125" s="11" t="n"/>
    </row>
    <row r="126" ht="15.75" customHeight="1">
      <c r="A126" s="11" t="n"/>
      <c r="B126" s="94" t="inlineStr">
        <is>
          <t>35</t>
        </is>
      </c>
      <c r="C126" s="66" t="inlineStr">
        <is>
          <t>Насос горизонтальный консольный типа К80-65-160…100-65-250</t>
        </is>
      </c>
      <c r="D126" s="64" t="n"/>
      <c r="E126" s="64" t="n">
        <v>17107</v>
      </c>
      <c r="F126" s="26">
        <f>E126*D126</f>
        <v/>
      </c>
      <c r="G126" s="11" t="n"/>
      <c r="H126" s="11" t="n"/>
    </row>
    <row r="127" hidden="1" ht="15.75" customHeight="1">
      <c r="A127" s="11" t="n"/>
      <c r="B127" s="94" t="inlineStr">
        <is>
          <t>36</t>
        </is>
      </c>
      <c r="C127" s="66" t="inlineStr">
        <is>
          <t>Насос ГХИ 6,3/32</t>
        </is>
      </c>
      <c r="D127" s="64" t="n"/>
      <c r="E127" s="64" t="n">
        <v>60387</v>
      </c>
      <c r="F127" s="26">
        <f>E127*D127</f>
        <v/>
      </c>
      <c r="G127" s="11" t="n"/>
      <c r="H127" s="11" t="n"/>
    </row>
    <row r="128" ht="15.75" customHeight="1">
      <c r="A128" s="11" t="n"/>
      <c r="B128" s="94" t="inlineStr">
        <is>
          <t>37</t>
        </is>
      </c>
      <c r="C128" s="66" t="inlineStr">
        <is>
          <t>Насос дозировочный типа ДП</t>
        </is>
      </c>
      <c r="D128" s="64" t="n"/>
      <c r="E128" s="64" t="n">
        <v>27528</v>
      </c>
      <c r="F128" s="26">
        <f>E128*D128</f>
        <v/>
      </c>
      <c r="G128" s="11" t="n"/>
      <c r="H128" s="11" t="n"/>
    </row>
    <row r="129" ht="15.75" customHeight="1">
      <c r="A129" s="11" t="n"/>
      <c r="B129" s="94" t="inlineStr">
        <is>
          <t>38</t>
        </is>
      </c>
      <c r="C129" s="50" t="inlineStr">
        <is>
          <t>Насос дозировочный типа НД 0,1…40/10...160</t>
        </is>
      </c>
      <c r="D129" s="64" t="n"/>
      <c r="E129" s="64" t="n">
        <v>27528</v>
      </c>
      <c r="F129" s="26">
        <f>E129*D129</f>
        <v/>
      </c>
      <c r="G129" s="11" t="n"/>
      <c r="H129" s="11" t="n"/>
    </row>
    <row r="130" hidden="1" ht="16.5" customHeight="1">
      <c r="A130" s="11" t="n"/>
      <c r="B130" s="94" t="inlineStr">
        <is>
          <t>39</t>
        </is>
      </c>
      <c r="C130" s="70" t="inlineStr">
        <is>
          <t>Насос дозировочный типа НДМ,НДХ (мембранные)</t>
        </is>
      </c>
      <c r="D130" s="64" t="n"/>
      <c r="E130" s="64" t="n">
        <v>35884</v>
      </c>
      <c r="F130" s="26">
        <f>E130*D130</f>
        <v/>
      </c>
      <c r="G130" s="11" t="n"/>
      <c r="H130" s="11" t="n"/>
    </row>
    <row r="131" hidden="1" ht="19.5" customHeight="1">
      <c r="A131" s="11" t="n"/>
      <c r="B131" s="94" t="inlineStr">
        <is>
          <t>40</t>
        </is>
      </c>
      <c r="C131" s="50" t="inlineStr">
        <is>
          <t>Насос дозировочный типа УН1Д-Р</t>
        </is>
      </c>
      <c r="D131" s="64" t="n"/>
      <c r="E131" s="64" t="n">
        <v>35884</v>
      </c>
      <c r="F131" s="26">
        <f>E131*D131</f>
        <v/>
      </c>
      <c r="G131" s="11" t="n"/>
      <c r="H131" s="11" t="n"/>
    </row>
    <row r="132" ht="13.5" customHeight="1">
      <c r="A132" s="11" t="n"/>
      <c r="B132" s="94" t="inlineStr">
        <is>
          <t>41</t>
        </is>
      </c>
      <c r="C132" s="70" t="inlineStr">
        <is>
          <t>Насос НВ-Мв-50/80; Насос НВ-Мв-Е-50/80; Насос НВ-Мт-50/80; Насос НВ-Мт-Е-50/80; НВД 50/80</t>
        </is>
      </c>
      <c r="D132" s="64" t="n"/>
      <c r="E132" s="64" t="n">
        <v>48080</v>
      </c>
      <c r="F132" s="26">
        <f>E132*D132</f>
        <v/>
      </c>
      <c r="G132" s="11" t="n"/>
      <c r="H132" s="11" t="n"/>
    </row>
    <row r="133" ht="15.75" customHeight="1">
      <c r="A133" s="11" t="n"/>
      <c r="B133" s="94" t="inlineStr">
        <is>
          <t>42</t>
        </is>
      </c>
      <c r="C133" s="70" t="inlineStr">
        <is>
          <t>Насос НВ-Мн-50/50; Насос НВ-Мн-Е-50/50; Насос НВ-Мт-50/50; Насос НВ-Мт-Е-50/50; НВД 50/50; Насос НВ-50/50; Насос НВ-Е-50/50</t>
        </is>
      </c>
      <c r="D133" s="64" t="n"/>
      <c r="E133" s="64" t="n">
        <v>48080</v>
      </c>
      <c r="F133" s="26">
        <f>E133*D133</f>
        <v/>
      </c>
      <c r="G133" s="11" t="n"/>
      <c r="H133" s="11" t="n"/>
    </row>
    <row r="134" ht="12.75" customHeight="1">
      <c r="A134" s="11" t="n"/>
      <c r="B134" s="94" t="inlineStr">
        <is>
          <t>43</t>
        </is>
      </c>
      <c r="C134" s="50" t="inlineStr">
        <is>
          <t xml:space="preserve">Насос НПВ 1250/60 </t>
        </is>
      </c>
      <c r="D134" s="94" t="n"/>
      <c r="E134" s="94" t="n">
        <v>451949</v>
      </c>
      <c r="F134" s="26">
        <f>E134*D134</f>
        <v/>
      </c>
      <c r="G134" s="11" t="n"/>
      <c r="H134" s="11" t="n"/>
    </row>
    <row r="135" hidden="1" ht="15.75" customHeight="1">
      <c r="A135" s="11" t="n"/>
      <c r="B135" s="94" t="inlineStr">
        <is>
          <t>44</t>
        </is>
      </c>
      <c r="C135" s="66" t="inlineStr">
        <is>
          <t>Насос НЦСГ-Е-5-100-П2,5; НЦСГ-Е-12,5-150 -П2,5; НЦСГ-Е-2-40-П</t>
        </is>
      </c>
      <c r="D135" s="64" t="n"/>
      <c r="E135" s="64" t="n">
        <v>156479</v>
      </c>
      <c r="F135" s="26">
        <f>E135*D135</f>
        <v/>
      </c>
      <c r="G135" s="11" t="n"/>
      <c r="H135" s="11" t="n"/>
    </row>
    <row r="136" hidden="1" ht="15.75" customHeight="1">
      <c r="A136" s="11" t="n"/>
      <c r="B136" s="94" t="inlineStr">
        <is>
          <t>45</t>
        </is>
      </c>
      <c r="C136" s="66" t="inlineStr">
        <is>
          <t>Насос СR 32-3-2</t>
        </is>
      </c>
      <c r="D136" s="64" t="n"/>
      <c r="E136" s="64" t="n">
        <v>44979</v>
      </c>
      <c r="F136" s="26">
        <f>E136*D136</f>
        <v/>
      </c>
      <c r="G136" s="11" t="n"/>
      <c r="H136" s="11" t="n"/>
    </row>
    <row r="137" hidden="1" ht="15.75" customHeight="1">
      <c r="A137" s="11" t="n"/>
      <c r="B137" s="94" t="inlineStr">
        <is>
          <t>46</t>
        </is>
      </c>
      <c r="C137" s="100" t="inlineStr">
        <is>
          <t>Насос типа ЦГ6,3/32-2,2-2; ЦГ 6,3/32-2,2-5; ЦГ 6,3/20-1,1-2; ЦГ 6,3/32-1,1-5</t>
        </is>
      </c>
      <c r="D137" s="64" t="n"/>
      <c r="E137" s="64" t="n">
        <v>41746</v>
      </c>
      <c r="F137" s="26">
        <f>E137*D137</f>
        <v/>
      </c>
      <c r="G137" s="11" t="n"/>
      <c r="H137" s="11" t="n"/>
    </row>
    <row r="138" hidden="1" ht="15.75" customHeight="1">
      <c r="A138" s="11" t="n"/>
      <c r="B138" s="94" t="inlineStr">
        <is>
          <t>47</t>
        </is>
      </c>
      <c r="C138" s="66" t="inlineStr">
        <is>
          <t>Насос ТР 100-820/2</t>
        </is>
      </c>
      <c r="D138" s="64" t="n"/>
      <c r="E138" s="64" t="n">
        <v>41746</v>
      </c>
      <c r="F138" s="26">
        <f>E138*D138</f>
        <v/>
      </c>
      <c r="G138" s="11" t="n"/>
      <c r="H138" s="11" t="n"/>
    </row>
    <row r="139" hidden="1" ht="15.75" customHeight="1">
      <c r="A139" s="11" t="n"/>
      <c r="B139" s="94" t="inlineStr">
        <is>
          <t>48</t>
        </is>
      </c>
      <c r="C139" s="66" t="inlineStr">
        <is>
          <t>Насос ХПЕ 80-50-200</t>
        </is>
      </c>
      <c r="D139" s="45" t="n"/>
      <c r="E139" s="64" t="n">
        <v>41746</v>
      </c>
      <c r="F139" s="26">
        <f>E139*D139</f>
        <v/>
      </c>
      <c r="G139" s="11" t="n"/>
      <c r="H139" s="11" t="n"/>
    </row>
    <row r="140" ht="15.75" customHeight="1">
      <c r="A140" s="11" t="n"/>
      <c r="B140" s="94" t="inlineStr">
        <is>
          <t>49</t>
        </is>
      </c>
      <c r="C140" s="100" t="inlineStr">
        <is>
          <t>Насос ЦНС 105/98…490</t>
        </is>
      </c>
      <c r="D140" s="64" t="n"/>
      <c r="E140" s="64" t="n">
        <v>125967</v>
      </c>
      <c r="F140" s="26">
        <f>E140*D140</f>
        <v/>
      </c>
      <c r="G140" s="11" t="n"/>
      <c r="H140" s="11" t="n"/>
    </row>
    <row r="141" ht="15.75" customHeight="1">
      <c r="A141" s="11" t="n"/>
      <c r="B141" s="94" t="inlineStr">
        <is>
          <t>50</t>
        </is>
      </c>
      <c r="C141" s="66" t="inlineStr">
        <is>
          <t>Насос ЦНС 105/98…490 с торцевым уплотнением</t>
        </is>
      </c>
      <c r="D141" s="64" t="n"/>
      <c r="E141" s="64" t="n">
        <v>125967</v>
      </c>
      <c r="F141" s="26">
        <f>E141*D141</f>
        <v/>
      </c>
      <c r="G141" s="11" t="n"/>
      <c r="H141" s="11" t="n"/>
    </row>
    <row r="142" ht="15.75" customHeight="1">
      <c r="A142" s="11" t="n"/>
      <c r="B142" s="94" t="inlineStr">
        <is>
          <t>51</t>
        </is>
      </c>
      <c r="C142" s="68" t="inlineStr">
        <is>
          <t>Насос ЦНС 100...180/870…2050</t>
        </is>
      </c>
      <c r="D142" s="64" t="n">
        <v>1</v>
      </c>
      <c r="E142" s="64" t="n">
        <v>396278</v>
      </c>
      <c r="F142" s="26">
        <f>E142*D142</f>
        <v/>
      </c>
      <c r="G142" s="11" t="n"/>
      <c r="H142" s="11" t="n"/>
    </row>
    <row r="143" ht="15.75" customHeight="1">
      <c r="A143" s="11" t="n"/>
      <c r="B143" s="94" t="inlineStr">
        <is>
          <t>52</t>
        </is>
      </c>
      <c r="C143" s="66" t="inlineStr">
        <is>
          <t>Насос ЦНС 180/85…425</t>
        </is>
      </c>
      <c r="D143" s="64" t="n"/>
      <c r="E143" s="64" t="n">
        <v>154105</v>
      </c>
      <c r="F143" s="26">
        <f>E143*D143</f>
        <v/>
      </c>
      <c r="G143" s="11" t="n"/>
      <c r="H143" s="11" t="n"/>
    </row>
    <row r="144" ht="15.75" customHeight="1">
      <c r="A144" s="11" t="n"/>
      <c r="B144" s="94" t="inlineStr">
        <is>
          <t>53</t>
        </is>
      </c>
      <c r="C144" s="100" t="inlineStr">
        <is>
          <t>Насос ЦНС 180/85…425 с торцевым уплотнением</t>
        </is>
      </c>
      <c r="D144" s="64" t="n"/>
      <c r="E144" s="64" t="n">
        <v>154105</v>
      </c>
      <c r="F144" s="26">
        <f>E144*D144</f>
        <v/>
      </c>
      <c r="G144" s="11" t="n"/>
      <c r="H144" s="11" t="n"/>
    </row>
    <row r="145" ht="15" customHeight="1">
      <c r="A145" s="11" t="n"/>
      <c r="B145" s="94" t="inlineStr">
        <is>
          <t>54</t>
        </is>
      </c>
      <c r="C145" s="66" t="inlineStr">
        <is>
          <t xml:space="preserve">Насос ЦНС 225...280/870...1900 </t>
        </is>
      </c>
      <c r="D145" s="64" t="n">
        <v>3</v>
      </c>
      <c r="E145" s="64" t="n">
        <v>396278</v>
      </c>
      <c r="F145" s="26">
        <f>E145*D145</f>
        <v/>
      </c>
      <c r="G145" s="11" t="n"/>
      <c r="H145" s="11" t="n"/>
    </row>
    <row r="146" ht="15.75" customHeight="1">
      <c r="A146" s="11" t="n"/>
      <c r="B146" s="94" t="inlineStr">
        <is>
          <t>55</t>
        </is>
      </c>
      <c r="C146" s="66" t="inlineStr">
        <is>
          <t>Насос ЦНС 300/120…300</t>
        </is>
      </c>
      <c r="D146" s="64" t="n"/>
      <c r="E146" s="64" t="n">
        <v>167203</v>
      </c>
      <c r="F146" s="26">
        <f>E146*D146</f>
        <v/>
      </c>
      <c r="G146" s="11" t="n"/>
      <c r="H146" s="11" t="n"/>
    </row>
    <row r="147" ht="27.75" customHeight="1">
      <c r="A147" s="11" t="n"/>
      <c r="B147" s="94" t="inlineStr">
        <is>
          <t>56</t>
        </is>
      </c>
      <c r="C147" s="66" t="inlineStr">
        <is>
          <t>Насос ЦНС 300/120…300 с торцевым уплотнением</t>
        </is>
      </c>
      <c r="D147" s="64" t="n"/>
      <c r="E147" s="64" t="n">
        <v>167203</v>
      </c>
      <c r="F147" s="26">
        <f>E147*D147</f>
        <v/>
      </c>
      <c r="G147" s="11" t="n"/>
      <c r="H147" s="11" t="n"/>
    </row>
    <row r="148" ht="15.75" customHeight="1">
      <c r="A148" s="11" t="n"/>
      <c r="B148" s="94" t="inlineStr">
        <is>
          <t>57</t>
        </is>
      </c>
      <c r="C148" s="66" t="inlineStr">
        <is>
          <t>Насос ЦНС 300/360…660</t>
        </is>
      </c>
      <c r="D148" s="64" t="n"/>
      <c r="E148" s="64" t="n">
        <v>167203</v>
      </c>
      <c r="F148" s="26">
        <f>E148*D148</f>
        <v/>
      </c>
      <c r="G148" s="11" t="n"/>
      <c r="H148" s="11" t="n"/>
    </row>
    <row r="149" ht="28.5" customHeight="1">
      <c r="A149" s="11" t="n"/>
      <c r="B149" s="94" t="inlineStr">
        <is>
          <t>58</t>
        </is>
      </c>
      <c r="C149" s="100" t="inlineStr">
        <is>
          <t>Насос ЦНС 300/360…660 с торцевым уплотнением</t>
        </is>
      </c>
      <c r="D149" s="64" t="n"/>
      <c r="E149" s="64" t="n">
        <v>167203</v>
      </c>
      <c r="F149" s="26">
        <f>E149*D149</f>
        <v/>
      </c>
      <c r="G149" s="11" t="n"/>
      <c r="H149" s="11" t="n"/>
    </row>
    <row r="150" ht="15.75" customHeight="1">
      <c r="A150" s="11" t="n"/>
      <c r="B150" s="94" t="inlineStr">
        <is>
          <t>59</t>
        </is>
      </c>
      <c r="C150" s="100" t="inlineStr">
        <is>
          <t>Насос ЦНС 310-1510</t>
        </is>
      </c>
      <c r="D150" s="64" t="n"/>
      <c r="E150" s="64" t="n">
        <v>396278</v>
      </c>
      <c r="F150" s="26">
        <f>E150*D150</f>
        <v/>
      </c>
      <c r="G150" s="11" t="n"/>
      <c r="H150" s="11" t="n"/>
    </row>
    <row r="151" ht="15.75" customHeight="1">
      <c r="A151" s="11" t="n"/>
      <c r="B151" s="94" t="inlineStr">
        <is>
          <t>60</t>
        </is>
      </c>
      <c r="C151" s="100" t="inlineStr">
        <is>
          <t>Насос ЦНС 320-1350</t>
        </is>
      </c>
      <c r="D151" s="64" t="n">
        <v>1</v>
      </c>
      <c r="E151" s="64" t="n">
        <v>396278</v>
      </c>
      <c r="F151" s="26">
        <f>E151*D151</f>
        <v/>
      </c>
      <c r="G151" s="11" t="n"/>
      <c r="H151" s="11" t="n"/>
    </row>
    <row r="152" ht="15.75" customHeight="1">
      <c r="A152" s="11" t="n"/>
      <c r="B152" s="94" t="inlineStr">
        <is>
          <t>61</t>
        </is>
      </c>
      <c r="C152" s="100" t="inlineStr">
        <is>
          <t>Насос ЦНС 350-1650</t>
        </is>
      </c>
      <c r="D152" s="64" t="n"/>
      <c r="E152" s="64" t="n">
        <v>396278</v>
      </c>
      <c r="F152" s="26">
        <f>E152*D152</f>
        <v/>
      </c>
      <c r="G152" s="11" t="n"/>
      <c r="H152" s="11" t="n"/>
    </row>
    <row r="153" ht="15.75" customHeight="1">
      <c r="A153" s="11" t="n"/>
      <c r="B153" s="94" t="inlineStr">
        <is>
          <t>62</t>
        </is>
      </c>
      <c r="C153" s="100" t="inlineStr">
        <is>
          <t>Насос ЦНС 40/1400</t>
        </is>
      </c>
      <c r="D153" s="64" t="n"/>
      <c r="E153" s="64" t="n">
        <v>396278</v>
      </c>
      <c r="F153" s="26">
        <f>E153*D153</f>
        <v/>
      </c>
      <c r="G153" s="11" t="n"/>
      <c r="H153" s="11" t="n"/>
    </row>
    <row r="154" ht="15.75" customHeight="1">
      <c r="A154" s="11" t="n"/>
      <c r="B154" s="94" t="inlineStr">
        <is>
          <t>63</t>
        </is>
      </c>
      <c r="C154" s="66" t="inlineStr">
        <is>
          <t>Насос ЦНС-13/70…350</t>
        </is>
      </c>
      <c r="D154" s="64" t="n"/>
      <c r="E154" s="64" t="n">
        <v>113781</v>
      </c>
      <c r="F154" s="26">
        <f>E154*D154</f>
        <v/>
      </c>
      <c r="G154" s="11" t="n"/>
      <c r="H154" s="11" t="n"/>
    </row>
    <row r="155" ht="15.75" customHeight="1">
      <c r="A155" s="11" t="n"/>
      <c r="B155" s="94" t="inlineStr">
        <is>
          <t>64</t>
        </is>
      </c>
      <c r="C155" s="66" t="inlineStr">
        <is>
          <t>Насос ЦНС-13/70…350 с торцевым уплотнением</t>
        </is>
      </c>
      <c r="D155" s="64" t="n"/>
      <c r="E155" s="64" t="n">
        <v>113781</v>
      </c>
      <c r="F155" s="26">
        <f>E155*D155</f>
        <v/>
      </c>
      <c r="G155" s="11" t="n"/>
      <c r="H155" s="11" t="n"/>
    </row>
    <row r="156" ht="15.75" customHeight="1">
      <c r="A156" s="11" t="n"/>
      <c r="B156" s="94" t="inlineStr">
        <is>
          <t>65</t>
        </is>
      </c>
      <c r="C156" s="66" t="inlineStr">
        <is>
          <t>Насос ЦНС-38/44…220</t>
        </is>
      </c>
      <c r="D156" s="64" t="n"/>
      <c r="E156" s="64" t="n">
        <v>113781</v>
      </c>
      <c r="F156" s="26">
        <f>E156*D156</f>
        <v/>
      </c>
      <c r="G156" s="11" t="n"/>
      <c r="H156" s="11" t="n"/>
    </row>
    <row r="157" ht="18" customHeight="1">
      <c r="A157" s="11" t="n"/>
      <c r="B157" s="94" t="inlineStr">
        <is>
          <t>66</t>
        </is>
      </c>
      <c r="C157" s="66" t="inlineStr">
        <is>
          <t>Насос ЦНС-38/44…220 с торцевым уплотнением</t>
        </is>
      </c>
      <c r="D157" s="64" t="n"/>
      <c r="E157" s="64" t="n">
        <v>113781</v>
      </c>
      <c r="F157" s="26">
        <f>E157*D157</f>
        <v/>
      </c>
      <c r="G157" s="11" t="n"/>
      <c r="H157" s="11" t="n"/>
    </row>
    <row r="158" ht="15.75" customHeight="1">
      <c r="A158" s="11" t="n"/>
      <c r="B158" s="94" t="inlineStr">
        <is>
          <t>67</t>
        </is>
      </c>
      <c r="C158" s="66" t="inlineStr">
        <is>
          <t>Насос ЦНС-60/66…330</t>
        </is>
      </c>
      <c r="D158" s="64" t="n"/>
      <c r="E158" s="64" t="n">
        <v>113781</v>
      </c>
      <c r="F158" s="26">
        <f>E158*D158</f>
        <v/>
      </c>
      <c r="G158" s="11" t="n"/>
      <c r="H158" s="11" t="n"/>
    </row>
    <row r="159" ht="15.75" customHeight="1">
      <c r="A159" s="11" t="n"/>
      <c r="B159" s="94" t="inlineStr">
        <is>
          <t>68</t>
        </is>
      </c>
      <c r="C159" s="66" t="inlineStr">
        <is>
          <t>Насос ЦНС-60/66…330 с торцевым уплотнением</t>
        </is>
      </c>
      <c r="D159" s="64" t="n"/>
      <c r="E159" s="64" t="n">
        <v>113781</v>
      </c>
      <c r="F159" s="26">
        <f>E159*D159</f>
        <v/>
      </c>
      <c r="G159" s="11" t="n"/>
      <c r="H159" s="11" t="n"/>
    </row>
    <row r="160" ht="15.75" customHeight="1">
      <c r="A160" s="11" t="n"/>
      <c r="B160" s="94" t="inlineStr">
        <is>
          <t>69</t>
        </is>
      </c>
      <c r="C160" s="66" t="inlineStr">
        <is>
          <t xml:space="preserve">Насос ЦНС-63/1000...1900 </t>
        </is>
      </c>
      <c r="D160" s="64" t="n"/>
      <c r="E160" s="64" t="n">
        <v>396278</v>
      </c>
      <c r="F160" s="26">
        <f>E160*D160</f>
        <v/>
      </c>
      <c r="G160" s="11" t="n"/>
      <c r="H160" s="11" t="n"/>
    </row>
    <row r="161" ht="15.75" customHeight="1">
      <c r="A161" s="11" t="n"/>
      <c r="B161" s="94" t="inlineStr">
        <is>
          <t>70</t>
        </is>
      </c>
      <c r="C161" s="66" t="inlineStr">
        <is>
          <t xml:space="preserve">Насос ЦНС-90/1100...1900 </t>
        </is>
      </c>
      <c r="D161" s="64" t="n"/>
      <c r="E161" s="64" t="n">
        <v>396278</v>
      </c>
      <c r="F161" s="26">
        <f>E161*D161</f>
        <v/>
      </c>
      <c r="G161" s="11" t="n"/>
      <c r="H161" s="11" t="n"/>
    </row>
    <row r="162" ht="15.75" customHeight="1">
      <c r="A162" s="11" t="n"/>
      <c r="B162" s="94" t="inlineStr">
        <is>
          <t>71</t>
        </is>
      </c>
      <c r="C162" s="66" t="inlineStr">
        <is>
          <t>Насос шестеренный типа НМШ5-25-4,0/4; НМШ5-25-4,0/10; НМШ5-25-4,0/25; НМШ8-25-6,3/2,5; НМШ8-25-6,3/10; НМШ8-25-6,3/25, НШ 5/25</t>
        </is>
      </c>
      <c r="D162" s="64" t="n"/>
      <c r="E162" s="64" t="n">
        <v>15936</v>
      </c>
      <c r="F162" s="26">
        <f>E162*D162</f>
        <v/>
      </c>
      <c r="G162" s="11" t="n"/>
      <c r="H162" s="11" t="n"/>
    </row>
    <row r="163" hidden="1" ht="15.75" customHeight="1">
      <c r="A163" s="11" t="n"/>
      <c r="B163" s="94" t="inlineStr">
        <is>
          <t>72</t>
        </is>
      </c>
      <c r="C163" s="66" t="inlineStr">
        <is>
          <t>Поршневой компрессор К2</t>
        </is>
      </c>
      <c r="D163" s="64" t="n"/>
      <c r="E163" s="64" t="n">
        <v>42661</v>
      </c>
      <c r="F163" s="26">
        <f>E163*D163</f>
        <v/>
      </c>
      <c r="G163" s="11" t="n"/>
      <c r="H163" s="11" t="n"/>
    </row>
    <row r="164" ht="15" customHeight="1">
      <c r="A164" s="11" t="n"/>
      <c r="B164" s="100" t="inlineStr">
        <is>
          <t>ИТОГО:</t>
        </is>
      </c>
      <c r="C164" s="101" t="n"/>
      <c r="D164" s="63" t="n"/>
      <c r="E164" s="63" t="n"/>
      <c r="F164" s="63">
        <f>SUM(F92:F163)</f>
        <v/>
      </c>
      <c r="G164" s="11" t="n"/>
      <c r="H164" s="11" t="n"/>
    </row>
    <row r="165" ht="14.25" customHeight="1">
      <c r="A165" s="11" t="n"/>
      <c r="B165" s="90" t="inlineStr">
        <is>
          <t>ДЕМОНТАЖ</t>
        </is>
      </c>
      <c r="D165" s="63" t="n"/>
      <c r="E165" s="63" t="n"/>
      <c r="F165" s="26" t="n"/>
      <c r="G165" s="63" t="n"/>
      <c r="H165" s="11" t="n"/>
    </row>
    <row r="166" hidden="1" ht="15.75" customHeight="1">
      <c r="A166" s="11" t="n"/>
      <c r="B166" s="94" t="inlineStr">
        <is>
          <t>1</t>
        </is>
      </c>
      <c r="C166" s="66" t="inlineStr">
        <is>
          <t>Агрегат турбокомпрессорный ТКА-Ц-12/0,4-6,1М1 без двигателя</t>
        </is>
      </c>
      <c r="D166" s="63" t="n"/>
      <c r="E166" s="63" t="n">
        <v>609275</v>
      </c>
      <c r="F166" s="26">
        <f>E166*D166</f>
        <v/>
      </c>
      <c r="G166" s="63" t="n"/>
      <c r="H166" s="11" t="n"/>
    </row>
    <row r="167" hidden="1" ht="15.75" customHeight="1">
      <c r="A167" s="11" t="n"/>
      <c r="B167" s="63" t="inlineStr">
        <is>
          <t>2</t>
        </is>
      </c>
      <c r="C167" s="66" t="inlineStr">
        <is>
          <t>БНСП 1400-900</t>
        </is>
      </c>
      <c r="D167" s="64" t="n"/>
      <c r="E167" s="64" t="n">
        <v>102205</v>
      </c>
      <c r="F167" s="26">
        <f>E167*D167</f>
        <v/>
      </c>
      <c r="G167" s="63" t="n"/>
      <c r="H167" s="11" t="n"/>
    </row>
    <row r="168" hidden="1" ht="15.75" customHeight="1">
      <c r="A168" s="11" t="n"/>
      <c r="B168" s="94" t="inlineStr">
        <is>
          <t>3</t>
        </is>
      </c>
      <c r="C168" s="66" t="inlineStr">
        <is>
          <t>ГНС 700</t>
        </is>
      </c>
      <c r="D168" s="64" t="n"/>
      <c r="E168" s="64" t="n">
        <v>102205</v>
      </c>
      <c r="F168" s="26">
        <f>E168*D168</f>
        <v/>
      </c>
      <c r="G168" s="63" t="n"/>
      <c r="H168" s="11" t="n"/>
    </row>
    <row r="169" hidden="1" ht="15.75" customHeight="1">
      <c r="A169" s="11" t="n"/>
      <c r="B169" s="63" t="inlineStr">
        <is>
          <t>4</t>
        </is>
      </c>
      <c r="C169" s="100" t="inlineStr">
        <is>
          <t>ГНС S 100 N</t>
        </is>
      </c>
      <c r="D169" s="64" t="n"/>
      <c r="E169" s="64" t="n">
        <v>102205</v>
      </c>
      <c r="F169" s="26">
        <f>E169*D169</f>
        <v/>
      </c>
      <c r="G169" s="63" t="n"/>
      <c r="H169" s="11" t="n"/>
    </row>
    <row r="170" hidden="1" ht="15.75" customHeight="1">
      <c r="A170" s="11" t="n"/>
      <c r="B170" s="94" t="inlineStr">
        <is>
          <t>5</t>
        </is>
      </c>
      <c r="C170" s="66" t="inlineStr">
        <is>
          <t>ГНС S 175 N</t>
        </is>
      </c>
      <c r="D170" s="64" t="n"/>
      <c r="E170" s="64" t="n">
        <v>102205</v>
      </c>
      <c r="F170" s="26">
        <f>E170*D170</f>
        <v/>
      </c>
      <c r="G170" s="63" t="n"/>
      <c r="H170" s="11" t="n"/>
    </row>
    <row r="171" hidden="1" ht="15.75" customHeight="1">
      <c r="A171" s="11" t="n"/>
      <c r="B171" s="63" t="inlineStr">
        <is>
          <t>6</t>
        </is>
      </c>
      <c r="C171" s="66" t="inlineStr">
        <is>
          <t>ГНУ 3000/1900</t>
        </is>
      </c>
      <c r="D171" s="64" t="n"/>
      <c r="E171" s="26" t="n">
        <v>102205</v>
      </c>
      <c r="F171" s="26">
        <f>E171*D171</f>
        <v/>
      </c>
      <c r="G171" s="63" t="n"/>
      <c r="H171" s="11" t="n"/>
    </row>
    <row r="172" hidden="1" ht="15.75" customHeight="1">
      <c r="A172" s="11" t="n"/>
      <c r="B172" s="94" t="inlineStr">
        <is>
          <t>7</t>
        </is>
      </c>
      <c r="C172" s="66" t="inlineStr">
        <is>
          <t>Насос плунжерный КАМАТ тип К</t>
        </is>
      </c>
      <c r="D172" s="64" t="n"/>
      <c r="E172" s="26" t="n">
        <v>60943</v>
      </c>
      <c r="F172" s="26">
        <f>E172*D172</f>
        <v/>
      </c>
      <c r="G172" s="63" t="n"/>
      <c r="H172" s="11" t="n"/>
    </row>
    <row r="173" hidden="1" ht="15.75" customHeight="1">
      <c r="A173" s="11" t="n"/>
      <c r="B173" s="63" t="inlineStr">
        <is>
          <t>8</t>
        </is>
      </c>
      <c r="C173" s="66" t="inlineStr">
        <is>
          <t>Компрессор 2НВ2КТ/126/330</t>
        </is>
      </c>
      <c r="D173" s="64" t="n"/>
      <c r="E173" s="26" t="n">
        <v>49819</v>
      </c>
      <c r="F173" s="26">
        <f>E173*D173</f>
        <v/>
      </c>
      <c r="G173" s="63" t="n"/>
      <c r="H173" s="11" t="n"/>
    </row>
    <row r="174" hidden="1" ht="15.75" customHeight="1">
      <c r="A174" s="11" t="n"/>
      <c r="B174" s="94" t="inlineStr">
        <is>
          <t>9</t>
        </is>
      </c>
      <c r="C174" s="66" t="inlineStr">
        <is>
          <t>Компрессор 4ВУ1-5/9</t>
        </is>
      </c>
      <c r="D174" s="64" t="n"/>
      <c r="E174" s="26" t="n">
        <v>24151</v>
      </c>
      <c r="F174" s="26">
        <f>E174*D174</f>
        <v/>
      </c>
      <c r="G174" s="63" t="n"/>
      <c r="H174" s="11" t="n"/>
    </row>
    <row r="175" hidden="1" ht="15.75" customHeight="1">
      <c r="A175" s="11" t="n"/>
      <c r="B175" s="63" t="inlineStr">
        <is>
          <t>10</t>
        </is>
      </c>
      <c r="C175" s="66" t="inlineStr">
        <is>
          <t>Компрессор A2YI-52-16-8, К-10А2У1-52-16</t>
        </is>
      </c>
      <c r="D175" s="64" t="n"/>
      <c r="E175" s="26" t="n">
        <v>14653</v>
      </c>
      <c r="F175" s="26">
        <f>E175*D175</f>
        <v/>
      </c>
      <c r="G175" s="63" t="n"/>
      <c r="H175" s="11" t="n"/>
    </row>
    <row r="176" hidden="1" ht="15.75" customHeight="1">
      <c r="A176" s="11" t="n"/>
      <c r="B176" s="94" t="inlineStr">
        <is>
          <t>11</t>
        </is>
      </c>
      <c r="C176" s="66" t="inlineStr">
        <is>
          <t>Компрессор воздушный Atlas Copco ZT90VSD</t>
        </is>
      </c>
      <c r="D176" s="64" t="n"/>
      <c r="E176" s="26" t="n">
        <v>42300</v>
      </c>
      <c r="F176" s="26">
        <f>E176*D176</f>
        <v/>
      </c>
      <c r="G176" s="63" t="n"/>
      <c r="H176" s="11" t="n"/>
    </row>
    <row r="177" hidden="1" ht="15.75" customHeight="1">
      <c r="A177" s="11" t="n"/>
      <c r="B177" s="63" t="inlineStr">
        <is>
          <t>12</t>
        </is>
      </c>
      <c r="C177" s="66" t="inlineStr">
        <is>
          <t>Компрессор ТАКАТ 11.05;  Борец 1С2ГП;  EGSI-S-150/200 WA</t>
        </is>
      </c>
      <c r="D177" s="64" t="n"/>
      <c r="E177" s="26" t="n">
        <v>49986</v>
      </c>
      <c r="F177" s="26">
        <f>E177*D177</f>
        <v/>
      </c>
      <c r="G177" s="63" t="n"/>
      <c r="H177" s="11" t="n"/>
    </row>
    <row r="178" ht="15.75" customHeight="1">
      <c r="A178" s="11" t="n"/>
      <c r="B178" s="94" t="inlineStr">
        <is>
          <t>13</t>
        </is>
      </c>
      <c r="C178" s="66" t="inlineStr">
        <is>
          <t>Насос Д160-112Б</t>
        </is>
      </c>
      <c r="D178" s="64" t="n"/>
      <c r="E178" s="26" t="n">
        <v>16512</v>
      </c>
      <c r="F178" s="26">
        <f>E178*D178</f>
        <v/>
      </c>
      <c r="G178" s="63" t="n"/>
      <c r="H178" s="11" t="n"/>
    </row>
    <row r="179" ht="15.75" customHeight="1">
      <c r="A179" s="11" t="n"/>
      <c r="B179" s="63" t="inlineStr">
        <is>
          <t>14</t>
        </is>
      </c>
      <c r="C179" s="66" t="inlineStr">
        <is>
          <t>Насос 1 Д200-90</t>
        </is>
      </c>
      <c r="D179" s="64" t="n"/>
      <c r="E179" s="26" t="n">
        <v>16512</v>
      </c>
      <c r="F179" s="26">
        <f>E179*D179</f>
        <v/>
      </c>
      <c r="G179" s="63" t="n"/>
      <c r="H179" s="11" t="n"/>
    </row>
    <row r="180" ht="15.75" customHeight="1">
      <c r="A180" s="11" t="n"/>
      <c r="B180" s="94" t="inlineStr">
        <is>
          <t>15</t>
        </is>
      </c>
      <c r="C180" s="66" t="inlineStr">
        <is>
          <t>Насос 1 Д250-125</t>
        </is>
      </c>
      <c r="D180" s="64" t="n"/>
      <c r="E180" s="26" t="n">
        <v>16512</v>
      </c>
      <c r="F180" s="26">
        <f>E180*D180</f>
        <v/>
      </c>
      <c r="G180" s="63" t="n"/>
      <c r="H180" s="11" t="n"/>
    </row>
    <row r="181" ht="15.75" customHeight="1">
      <c r="A181" s="11" t="n"/>
      <c r="B181" s="63" t="inlineStr">
        <is>
          <t>16</t>
        </is>
      </c>
      <c r="C181" s="66" t="inlineStr">
        <is>
          <t>Насос 1 Д315-50...71</t>
        </is>
      </c>
      <c r="D181" s="64" t="n"/>
      <c r="E181" s="26" t="n">
        <v>16512</v>
      </c>
      <c r="F181" s="26">
        <f>E181*D181</f>
        <v/>
      </c>
      <c r="G181" s="63" t="n"/>
      <c r="H181" s="11" t="n"/>
    </row>
    <row r="182" ht="18.75" customHeight="1">
      <c r="A182" s="11" t="n"/>
      <c r="B182" s="94" t="inlineStr">
        <is>
          <t>17</t>
        </is>
      </c>
      <c r="C182" s="66" t="inlineStr">
        <is>
          <t>Насос 1 Д500-63</t>
        </is>
      </c>
      <c r="D182" s="64" t="n"/>
      <c r="E182" s="26" t="n">
        <v>16512</v>
      </c>
      <c r="F182" s="26">
        <f>E182*D182</f>
        <v/>
      </c>
      <c r="G182" s="63" t="n"/>
      <c r="H182" s="11" t="n"/>
    </row>
    <row r="183" ht="17.25" customHeight="1">
      <c r="A183" s="11" t="n"/>
      <c r="B183" s="63" t="inlineStr">
        <is>
          <t>18</t>
        </is>
      </c>
      <c r="C183" s="52" t="inlineStr">
        <is>
          <t>Насос 1 Д630-90...125</t>
        </is>
      </c>
      <c r="D183" s="45" t="n"/>
      <c r="E183" s="18" t="n">
        <v>20354</v>
      </c>
      <c r="F183" s="18">
        <f>E183*D183</f>
        <v/>
      </c>
      <c r="G183" s="63" t="n"/>
      <c r="H183" s="11" t="n"/>
    </row>
    <row r="184" ht="12.75" customHeight="1">
      <c r="A184" s="11" t="n"/>
      <c r="B184" s="94" t="inlineStr">
        <is>
          <t>19</t>
        </is>
      </c>
      <c r="C184" s="52" t="inlineStr">
        <is>
          <t>Насос 1 Д1250-63…125</t>
        </is>
      </c>
      <c r="D184" s="45" t="n"/>
      <c r="E184" s="18" t="n">
        <v>31095</v>
      </c>
      <c r="F184" s="18">
        <f>E184*D184</f>
        <v/>
      </c>
      <c r="G184" s="63" t="n"/>
      <c r="H184" s="11" t="n"/>
    </row>
    <row r="185" ht="15.75" customHeight="1">
      <c r="A185" s="11" t="n"/>
      <c r="B185" s="63" t="inlineStr">
        <is>
          <t>20</t>
        </is>
      </c>
      <c r="C185" s="52" t="inlineStr">
        <is>
          <t>Насос 12НА-9х4</t>
        </is>
      </c>
      <c r="D185" s="45" t="n"/>
      <c r="E185" s="18" t="n">
        <v>18854</v>
      </c>
      <c r="F185" s="18">
        <f>E185*D185</f>
        <v/>
      </c>
      <c r="G185" s="63" t="n"/>
      <c r="H185" s="11" t="n"/>
    </row>
    <row r="186" hidden="1" ht="15.75" customHeight="1">
      <c r="A186" s="11" t="n"/>
      <c r="B186" s="94" t="inlineStr">
        <is>
          <t>21</t>
        </is>
      </c>
      <c r="C186" s="52" t="inlineStr">
        <is>
          <t>Насос 1АСВН-80АМ(С)/6</t>
        </is>
      </c>
      <c r="D186" s="45" t="n"/>
      <c r="E186" s="18" t="n">
        <v>24796</v>
      </c>
      <c r="F186" s="18">
        <f>E186*D186</f>
        <v/>
      </c>
      <c r="G186" s="63" t="n"/>
      <c r="H186" s="11" t="n"/>
    </row>
    <row r="187" ht="15.75" customHeight="1">
      <c r="A187" s="11" t="n"/>
      <c r="B187" s="63" t="inlineStr">
        <is>
          <t>22</t>
        </is>
      </c>
      <c r="C187" s="52" t="inlineStr">
        <is>
          <t>Насос 20А-18-1-11</t>
        </is>
      </c>
      <c r="D187" s="45" t="n"/>
      <c r="E187" s="18" t="n">
        <v>54705</v>
      </c>
      <c r="F187" s="18">
        <f>E187*D187</f>
        <v/>
      </c>
      <c r="G187" s="63" t="n"/>
      <c r="H187" s="11" t="n"/>
    </row>
    <row r="188" hidden="1" ht="15.75" customHeight="1">
      <c r="A188" s="11" t="n"/>
      <c r="B188" s="94" t="inlineStr">
        <is>
          <t>23</t>
        </is>
      </c>
      <c r="C188" s="52" t="inlineStr">
        <is>
          <t>Насос BUL 6,3/64</t>
        </is>
      </c>
      <c r="D188" s="45" t="n"/>
      <c r="E188" s="18" t="n">
        <v>356</v>
      </c>
      <c r="F188" s="18">
        <f>E188*D188</f>
        <v/>
      </c>
      <c r="G188" s="63" t="n"/>
      <c r="H188" s="11" t="n"/>
    </row>
    <row r="189" hidden="1" ht="15.75" customHeight="1">
      <c r="A189" s="11" t="n"/>
      <c r="B189" s="63" t="inlineStr">
        <is>
          <t>24</t>
        </is>
      </c>
      <c r="C189" s="52" t="inlineStr">
        <is>
          <t>Насос CR15-02</t>
        </is>
      </c>
      <c r="D189" s="45" t="n"/>
      <c r="E189" s="18" t="n">
        <v>3909</v>
      </c>
      <c r="F189" s="18">
        <f>E189*D189</f>
        <v/>
      </c>
      <c r="G189" s="63" t="n"/>
      <c r="H189" s="11" t="n"/>
    </row>
    <row r="190" hidden="1" ht="15.75" customHeight="1">
      <c r="A190" s="11" t="n"/>
      <c r="B190" s="94" t="inlineStr">
        <is>
          <t>25</t>
        </is>
      </c>
      <c r="C190" s="52" t="inlineStr">
        <is>
          <t>Насос CRE20-01</t>
        </is>
      </c>
      <c r="D190" s="45" t="n"/>
      <c r="E190" s="18" t="n">
        <v>3909</v>
      </c>
      <c r="F190" s="18">
        <f>E190*D190</f>
        <v/>
      </c>
      <c r="G190" s="63" t="n"/>
      <c r="H190" s="11" t="n"/>
    </row>
    <row r="191" hidden="1" ht="15.75" customHeight="1">
      <c r="A191" s="11" t="n"/>
      <c r="B191" s="63" t="inlineStr">
        <is>
          <t>26</t>
        </is>
      </c>
      <c r="C191" s="52" t="inlineStr">
        <is>
          <t>Насос KRGH 40/315; KRGH 80/315, KRGH 200/500</t>
        </is>
      </c>
      <c r="D191" s="45" t="n"/>
      <c r="E191" s="18" t="n">
        <v>20695</v>
      </c>
      <c r="F191" s="18">
        <f>E191*D191</f>
        <v/>
      </c>
      <c r="G191" s="63" t="n"/>
      <c r="H191" s="11" t="n"/>
    </row>
    <row r="192" hidden="1" ht="15.75" customHeight="1">
      <c r="A192" s="11" t="n"/>
      <c r="B192" s="94" t="inlineStr">
        <is>
          <t>27</t>
        </is>
      </c>
      <c r="C192" s="52" t="inlineStr">
        <is>
          <t xml:space="preserve">Насос NF50BP </t>
        </is>
      </c>
      <c r="D192" s="45" t="n"/>
      <c r="E192" s="18" t="n">
        <v>21121</v>
      </c>
      <c r="F192" s="18">
        <f>E192*D192</f>
        <v/>
      </c>
      <c r="G192" s="63" t="n"/>
      <c r="H192" s="11" t="n"/>
    </row>
    <row r="193" hidden="1" ht="15.75" customHeight="1">
      <c r="A193" s="11" t="n"/>
      <c r="B193" s="63" t="inlineStr">
        <is>
          <t>28</t>
        </is>
      </c>
      <c r="C193" s="52" t="inlineStr">
        <is>
          <t>Насос NM038BT02S12B</t>
        </is>
      </c>
      <c r="D193" s="45" t="n"/>
      <c r="E193" s="18" t="n">
        <v>21121</v>
      </c>
      <c r="F193" s="18">
        <f>E193*D193</f>
        <v/>
      </c>
      <c r="G193" s="63" t="n"/>
      <c r="H193" s="11" t="n"/>
    </row>
    <row r="194" hidden="1" ht="15.75" customHeight="1">
      <c r="A194" s="11" t="n"/>
      <c r="B194" s="94" t="inlineStr">
        <is>
          <t>29</t>
        </is>
      </c>
      <c r="C194" s="52" t="inlineStr">
        <is>
          <t>Насос PIAX 32/28</t>
        </is>
      </c>
      <c r="D194" s="45" t="n"/>
      <c r="E194" s="18" t="n">
        <v>356</v>
      </c>
      <c r="F194" s="18">
        <f>E194*D194</f>
        <v/>
      </c>
      <c r="G194" s="63" t="n"/>
      <c r="H194" s="11" t="n"/>
    </row>
    <row r="195" hidden="1" ht="15.75" customHeight="1">
      <c r="A195" s="11" t="n"/>
      <c r="B195" s="63" t="inlineStr">
        <is>
          <t>30</t>
        </is>
      </c>
      <c r="C195" s="77" t="inlineStr">
        <is>
          <t>Насос PKG100L50H17 2/9C5VV3Z</t>
        </is>
      </c>
      <c r="D195" s="45" t="n"/>
      <c r="E195" s="18" t="n">
        <v>4051</v>
      </c>
      <c r="F195" s="18">
        <f>E195*D195</f>
        <v/>
      </c>
      <c r="G195" s="63" t="n"/>
      <c r="H195" s="11" t="n"/>
    </row>
    <row r="196" hidden="1" ht="15.75" customHeight="1">
      <c r="A196" s="11" t="n"/>
      <c r="B196" s="94" t="inlineStr">
        <is>
          <t>31</t>
        </is>
      </c>
      <c r="C196" s="77" t="inlineStr">
        <is>
          <t>Насос SEG 40.12.2/1.502</t>
        </is>
      </c>
      <c r="D196" s="45" t="n"/>
      <c r="E196" s="18" t="n">
        <v>4051</v>
      </c>
      <c r="F196" s="18">
        <f>E196*D196</f>
        <v/>
      </c>
      <c r="G196" s="63" t="n"/>
      <c r="H196" s="11" t="n"/>
    </row>
    <row r="197" ht="15.75" customHeight="1">
      <c r="A197" s="11" t="n"/>
      <c r="B197" s="63" t="inlineStr">
        <is>
          <t>32</t>
        </is>
      </c>
      <c r="C197" s="77" t="inlineStr">
        <is>
          <t>Насос АХП 45/31, АХП 50-32-200…80-65-160</t>
        </is>
      </c>
      <c r="D197" s="45" t="n"/>
      <c r="E197" s="18" t="n">
        <v>10752</v>
      </c>
      <c r="F197" s="18">
        <f>E197*D197</f>
        <v/>
      </c>
      <c r="G197" s="63" t="n"/>
      <c r="H197" s="11" t="n"/>
    </row>
    <row r="198" ht="15.75" customHeight="1">
      <c r="A198" s="11" t="n"/>
      <c r="B198" s="94" t="inlineStr">
        <is>
          <t>33</t>
        </is>
      </c>
      <c r="C198" s="52" t="inlineStr">
        <is>
          <t>Насос ВКС 2/26</t>
        </is>
      </c>
      <c r="D198" s="87" t="n"/>
      <c r="E198" s="87" t="n">
        <v>705</v>
      </c>
      <c r="F198" s="18">
        <f>E198*D198</f>
        <v/>
      </c>
      <c r="G198" s="63" t="n"/>
      <c r="H198" s="11" t="n"/>
    </row>
    <row r="199" ht="21" customHeight="1">
      <c r="A199" s="11" t="n"/>
      <c r="B199" s="63" t="inlineStr">
        <is>
          <t>34</t>
        </is>
      </c>
      <c r="C199" s="52" t="inlineStr">
        <is>
          <t>Насос ВНД 80/43; ВНД 50/350, ВНД 50/100, ВНД 6,3/12,5</t>
        </is>
      </c>
      <c r="D199" s="45" t="n"/>
      <c r="E199" s="45" t="n">
        <v>2101</v>
      </c>
      <c r="F199" s="18">
        <f>E199*D199</f>
        <v/>
      </c>
      <c r="G199" s="63" t="n"/>
      <c r="H199" s="11" t="n"/>
    </row>
    <row r="200" ht="21.75" customHeight="1">
      <c r="A200" s="11" t="n"/>
      <c r="B200" s="94" t="inlineStr">
        <is>
          <t>35</t>
        </is>
      </c>
      <c r="C200" s="52" t="inlineStr">
        <is>
          <t>Насос горизонтальный консольный типа К80-65-160…100-65-250</t>
        </is>
      </c>
      <c r="D200" s="45" t="n"/>
      <c r="E200" s="45" t="n">
        <v>7587</v>
      </c>
      <c r="F200" s="18">
        <f>E200*D200</f>
        <v/>
      </c>
      <c r="G200" s="63" t="n"/>
      <c r="H200" s="11" t="n"/>
    </row>
    <row r="201" ht="15.75" customHeight="1">
      <c r="A201" s="11" t="n"/>
      <c r="B201" s="63" t="inlineStr">
        <is>
          <t>36</t>
        </is>
      </c>
      <c r="C201" s="46" t="inlineStr">
        <is>
          <t>Насос ГХИ 6,3/32</t>
        </is>
      </c>
      <c r="D201" s="45" t="n"/>
      <c r="E201" s="45" t="n">
        <v>2101</v>
      </c>
      <c r="F201" s="18">
        <f>E201*D201</f>
        <v/>
      </c>
      <c r="G201" s="63" t="n"/>
      <c r="H201" s="11" t="n"/>
    </row>
    <row r="202" ht="15.75" customHeight="1">
      <c r="A202" s="11" t="n"/>
      <c r="B202" s="94" t="inlineStr">
        <is>
          <t>37</t>
        </is>
      </c>
      <c r="C202" s="52" t="inlineStr">
        <is>
          <t>Насос дозировочный типа ДП</t>
        </is>
      </c>
      <c r="D202" s="45" t="n"/>
      <c r="E202" s="45" t="n">
        <v>7668</v>
      </c>
      <c r="F202" s="18">
        <f>E202*D202</f>
        <v/>
      </c>
      <c r="G202" s="63" t="n"/>
      <c r="H202" s="11" t="n"/>
    </row>
    <row r="203" ht="15.75" customHeight="1">
      <c r="A203" s="11" t="n"/>
      <c r="B203" s="63" t="inlineStr">
        <is>
          <t>38</t>
        </is>
      </c>
      <c r="C203" s="52" t="inlineStr">
        <is>
          <t>Насос дозировочный типа НД 0,1…40/10...160</t>
        </is>
      </c>
      <c r="D203" s="45" t="n"/>
      <c r="E203" s="18" t="n">
        <v>7668</v>
      </c>
      <c r="F203" s="18">
        <f>E203*D203</f>
        <v/>
      </c>
      <c r="G203" s="63" t="n"/>
      <c r="H203" s="11" t="n"/>
    </row>
    <row r="204" hidden="1" ht="20.25" customHeight="1">
      <c r="A204" s="11" t="n"/>
      <c r="B204" s="94" t="inlineStr">
        <is>
          <t>39</t>
        </is>
      </c>
      <c r="C204" s="52" t="inlineStr">
        <is>
          <t>Насос дозировочный типа НДМ,НДХ (мембранные)</t>
        </is>
      </c>
      <c r="D204" s="45" t="n"/>
      <c r="E204" s="18" t="n">
        <v>8000</v>
      </c>
      <c r="F204" s="18">
        <f>E204*D204</f>
        <v/>
      </c>
      <c r="G204" s="63" t="n"/>
      <c r="H204" s="11" t="n"/>
    </row>
    <row r="205" hidden="1" ht="15.75" customHeight="1">
      <c r="A205" s="11" t="n"/>
      <c r="B205" s="63" t="inlineStr">
        <is>
          <t>40</t>
        </is>
      </c>
      <c r="C205" s="52" t="inlineStr">
        <is>
          <t>Насос дозировочный типа УН1Д-Р</t>
        </is>
      </c>
      <c r="D205" s="45" t="n"/>
      <c r="E205" s="18" t="n">
        <v>8000</v>
      </c>
      <c r="F205" s="18">
        <f>E205*D205</f>
        <v/>
      </c>
      <c r="G205" s="63" t="n"/>
      <c r="H205" s="11" t="n"/>
    </row>
    <row r="206" ht="33" customHeight="1">
      <c r="A206" s="11" t="n"/>
      <c r="B206" s="94" t="inlineStr">
        <is>
          <t>41</t>
        </is>
      </c>
      <c r="C206" s="52" t="inlineStr">
        <is>
          <t>Насос НВ-Мв-50/80; Насос НВ-Мв-Е-50/80; Насос НВ-Мт-50/80; Насос НВ-Мт-Е-50/80; НВД 50/80</t>
        </is>
      </c>
      <c r="D206" s="45" t="n"/>
      <c r="E206" s="18" t="n">
        <v>2101</v>
      </c>
      <c r="F206" s="18">
        <f>E206*D206</f>
        <v/>
      </c>
      <c r="G206" s="63" t="n"/>
      <c r="H206" s="11" t="n"/>
    </row>
    <row r="207" ht="41.25" customHeight="1">
      <c r="A207" s="11" t="n"/>
      <c r="B207" s="63" t="inlineStr">
        <is>
          <t>42</t>
        </is>
      </c>
      <c r="C207" s="52" t="inlineStr">
        <is>
          <t>Насос НВ-Мн-50/50; Насос НВ-Мн-Е-50/50; Насос НВ-Мт-50/50; Насос НВ-Мт-Е-50/50; НВД 50/50; Насос НВ-50/50; Насос НВ-Е-50/50</t>
        </is>
      </c>
      <c r="D207" s="45" t="n"/>
      <c r="E207" s="18" t="n">
        <v>2101</v>
      </c>
      <c r="F207" s="18">
        <f>E207*D207</f>
        <v/>
      </c>
      <c r="G207" s="63" t="n"/>
      <c r="H207" s="11" t="n"/>
    </row>
    <row r="208" ht="15.75" customHeight="1">
      <c r="A208" s="11" t="n"/>
      <c r="B208" s="94" t="inlineStr">
        <is>
          <t>43</t>
        </is>
      </c>
      <c r="C208" s="52" t="inlineStr">
        <is>
          <t xml:space="preserve">Насос НПВ 1250/60 </t>
        </is>
      </c>
      <c r="D208" s="45" t="n"/>
      <c r="E208" s="18" t="n">
        <v>66507</v>
      </c>
      <c r="F208" s="18">
        <f>E208*D208</f>
        <v/>
      </c>
      <c r="G208" s="63" t="n"/>
      <c r="H208" s="11" t="n"/>
    </row>
    <row r="209" hidden="1" ht="23.25" customHeight="1">
      <c r="A209" s="11" t="n"/>
      <c r="B209" s="63" t="inlineStr">
        <is>
          <t>44</t>
        </is>
      </c>
      <c r="C209" s="52" t="inlineStr">
        <is>
          <t>Насос НЦСГ-Е-5-100-П2,5; НЦСГ-Е-12,5-150 -П2,5; НЦСГ-Е-2-40-П</t>
        </is>
      </c>
      <c r="D209" s="45" t="n"/>
      <c r="E209" s="18" t="n">
        <v>50242</v>
      </c>
      <c r="F209" s="18">
        <f>E209*D209</f>
        <v/>
      </c>
      <c r="G209" s="63" t="n"/>
      <c r="H209" s="11" t="n"/>
    </row>
    <row r="210" hidden="1" ht="18.75" customHeight="1">
      <c r="A210" s="11" t="n"/>
      <c r="B210" s="94" t="inlineStr">
        <is>
          <t>45</t>
        </is>
      </c>
      <c r="C210" s="52" t="inlineStr">
        <is>
          <t>Насос СR 32-3-2</t>
        </is>
      </c>
      <c r="D210" s="45" t="n"/>
      <c r="E210" s="18" t="n">
        <v>3909</v>
      </c>
      <c r="F210" s="18">
        <f>E210*D210</f>
        <v/>
      </c>
      <c r="G210" s="63" t="n"/>
      <c r="H210" s="11" t="n"/>
    </row>
    <row r="211" hidden="1" ht="25.5" customHeight="1">
      <c r="A211" s="11" t="n"/>
      <c r="B211" s="63" t="inlineStr">
        <is>
          <t>46</t>
        </is>
      </c>
      <c r="C211" s="52" t="inlineStr">
        <is>
          <t>Насос типа ЦГ6,3/32-2,2-2; ЦГ 6,3/32-2,2-5; ЦГ 6,3/20-1,1-2; ЦГ 6,3/32-1,1-5</t>
        </is>
      </c>
      <c r="D211" s="45" t="n"/>
      <c r="E211" s="18" t="n">
        <v>2051</v>
      </c>
      <c r="F211" s="18">
        <f>E211*D211</f>
        <v/>
      </c>
      <c r="G211" s="63" t="n"/>
      <c r="H211" s="11" t="n"/>
    </row>
    <row r="212" hidden="1" ht="15.75" customHeight="1">
      <c r="A212" s="11" t="n"/>
      <c r="B212" s="94" t="inlineStr">
        <is>
          <t>47</t>
        </is>
      </c>
      <c r="C212" s="52" t="inlineStr">
        <is>
          <t>Насос ТР 100-820/2</t>
        </is>
      </c>
      <c r="D212" s="45" t="n"/>
      <c r="E212" s="18" t="n">
        <v>7569</v>
      </c>
      <c r="F212" s="18">
        <f>E212*D212</f>
        <v/>
      </c>
      <c r="G212" s="63" t="n"/>
      <c r="H212" s="11" t="n"/>
    </row>
    <row r="213" hidden="1" ht="15.75" customHeight="1">
      <c r="A213" s="11" t="n"/>
      <c r="B213" s="63" t="inlineStr">
        <is>
          <t>48</t>
        </is>
      </c>
      <c r="C213" s="52" t="inlineStr">
        <is>
          <t>Насос ХПЕ 80-50-200</t>
        </is>
      </c>
      <c r="D213" s="45" t="n"/>
      <c r="E213" s="18" t="n">
        <v>7569</v>
      </c>
      <c r="F213" s="18">
        <f>E213*D213</f>
        <v/>
      </c>
      <c r="G213" s="63" t="n"/>
      <c r="H213" s="11" t="n"/>
    </row>
    <row r="214" ht="15.75" customHeight="1">
      <c r="A214" s="11" t="n"/>
      <c r="B214" s="94" t="inlineStr">
        <is>
          <t>49</t>
        </is>
      </c>
      <c r="C214" s="52" t="inlineStr">
        <is>
          <t>Насос ЦНС 105/98…490</t>
        </is>
      </c>
      <c r="D214" s="45" t="n"/>
      <c r="E214" s="18" t="n">
        <v>35892</v>
      </c>
      <c r="F214" s="18">
        <f>E214*D214</f>
        <v/>
      </c>
      <c r="G214" s="63" t="n"/>
      <c r="H214" s="11" t="n"/>
    </row>
    <row r="215" ht="15.75" customHeight="1">
      <c r="A215" s="11" t="n"/>
      <c r="B215" s="63" t="inlineStr">
        <is>
          <t>50</t>
        </is>
      </c>
      <c r="C215" s="52" t="inlineStr">
        <is>
          <t>Насос ЦНС 105/98…490 с торцевым уплотнением</t>
        </is>
      </c>
      <c r="D215" s="45" t="n"/>
      <c r="E215" s="18" t="n">
        <v>35892</v>
      </c>
      <c r="F215" s="18">
        <f>E215*D215</f>
        <v/>
      </c>
      <c r="G215" s="63" t="n"/>
      <c r="H215" s="11" t="n"/>
    </row>
    <row r="216" ht="15.75" customHeight="1">
      <c r="A216" s="11" t="n"/>
      <c r="B216" s="94" t="inlineStr">
        <is>
          <t>51</t>
        </is>
      </c>
      <c r="C216" s="52" t="inlineStr">
        <is>
          <t>Насос ЦНС 100...180/870…2050</t>
        </is>
      </c>
      <c r="D216" s="45" t="n"/>
      <c r="E216" s="18" t="n">
        <v>50280</v>
      </c>
      <c r="F216" s="18">
        <f>E216*D216</f>
        <v/>
      </c>
      <c r="G216" s="63" t="n"/>
      <c r="H216" s="11" t="n"/>
    </row>
    <row r="217" ht="15.75" customHeight="1">
      <c r="A217" s="11" t="n"/>
      <c r="B217" s="63" t="inlineStr">
        <is>
          <t>52</t>
        </is>
      </c>
      <c r="C217" s="52" t="inlineStr">
        <is>
          <t>Насос ЦНС 180/85…425</t>
        </is>
      </c>
      <c r="D217" s="45" t="n"/>
      <c r="E217" s="18" t="n">
        <v>38163</v>
      </c>
      <c r="F217" s="18">
        <f>E217*D217</f>
        <v/>
      </c>
      <c r="G217" s="63" t="n"/>
      <c r="H217" s="11" t="n"/>
    </row>
    <row r="218" ht="15.75" customHeight="1">
      <c r="A218" s="11" t="n"/>
      <c r="B218" s="94" t="inlineStr">
        <is>
          <t>53</t>
        </is>
      </c>
      <c r="C218" s="52" t="inlineStr">
        <is>
          <t>Насос ЦНС 180/85…425 с торцевым уплотнением</t>
        </is>
      </c>
      <c r="D218" s="45" t="n"/>
      <c r="E218" s="18" t="n">
        <v>38163</v>
      </c>
      <c r="F218" s="18">
        <f>E218*D218</f>
        <v/>
      </c>
      <c r="G218" s="63" t="n"/>
      <c r="H218" s="11" t="n"/>
    </row>
    <row r="219" ht="12.75" customHeight="1">
      <c r="A219" s="11" t="n"/>
      <c r="B219" s="63" t="inlineStr">
        <is>
          <t>54</t>
        </is>
      </c>
      <c r="C219" s="52" t="inlineStr">
        <is>
          <t xml:space="preserve">Насос ЦНС 225...280/870...1900 </t>
        </is>
      </c>
      <c r="D219" s="45" t="n"/>
      <c r="E219" s="18" t="n">
        <v>50280</v>
      </c>
      <c r="F219" s="18">
        <f>E219*D219</f>
        <v/>
      </c>
      <c r="G219" s="63" t="n"/>
      <c r="H219" s="11" t="n"/>
    </row>
    <row r="220" ht="15.75" customHeight="1">
      <c r="A220" s="11" t="n"/>
      <c r="B220" s="94" t="inlineStr">
        <is>
          <t>55</t>
        </is>
      </c>
      <c r="C220" s="52" t="inlineStr">
        <is>
          <t>Насос ЦНС 300/120…300</t>
        </is>
      </c>
      <c r="D220" s="45" t="n"/>
      <c r="E220" s="18" t="n">
        <v>50280</v>
      </c>
      <c r="F220" s="18">
        <f>E220*D220</f>
        <v/>
      </c>
      <c r="G220" s="63" t="n"/>
      <c r="H220" s="11" t="n"/>
    </row>
    <row r="221" ht="27.75" customHeight="1">
      <c r="A221" s="11" t="n"/>
      <c r="B221" s="63" t="inlineStr">
        <is>
          <t>56</t>
        </is>
      </c>
      <c r="C221" s="52" t="inlineStr">
        <is>
          <t>Насос ЦНС 300/120…300 с торцевым уплотнением</t>
        </is>
      </c>
      <c r="D221" s="45" t="n"/>
      <c r="E221" s="18" t="n">
        <v>50280</v>
      </c>
      <c r="F221" s="18">
        <f>E221*D221</f>
        <v/>
      </c>
      <c r="G221" s="63" t="n"/>
      <c r="H221" s="11" t="n"/>
    </row>
    <row r="222" ht="15.75" customHeight="1">
      <c r="A222" s="11" t="n"/>
      <c r="B222" s="94" t="inlineStr">
        <is>
          <t>57</t>
        </is>
      </c>
      <c r="C222" s="52" t="inlineStr">
        <is>
          <t>Насос ЦНС 300/360…660</t>
        </is>
      </c>
      <c r="D222" s="45" t="n"/>
      <c r="E222" s="18" t="n">
        <v>50280</v>
      </c>
      <c r="F222" s="18">
        <f>E222*D222</f>
        <v/>
      </c>
      <c r="G222" s="63" t="n"/>
      <c r="H222" s="11" t="n"/>
    </row>
    <row r="223" ht="25.5" customHeight="1">
      <c r="A223" s="11" t="n"/>
      <c r="B223" s="63" t="inlineStr">
        <is>
          <t>58</t>
        </is>
      </c>
      <c r="C223" s="52" t="inlineStr">
        <is>
          <t>Насос ЦНС 300/360…660 с торцевым уплотнением</t>
        </is>
      </c>
      <c r="D223" s="45" t="n"/>
      <c r="E223" s="18" t="n">
        <v>50280</v>
      </c>
      <c r="F223" s="18">
        <f>E223*D223</f>
        <v/>
      </c>
      <c r="G223" s="63" t="n"/>
      <c r="H223" s="11" t="n"/>
    </row>
    <row r="224" ht="12.75" customHeight="1">
      <c r="A224" s="11" t="n"/>
      <c r="B224" s="94" t="inlineStr">
        <is>
          <t>59</t>
        </is>
      </c>
      <c r="C224" s="52" t="inlineStr">
        <is>
          <t>Насос ЦНС 310-1510</t>
        </is>
      </c>
      <c r="D224" s="45" t="n"/>
      <c r="E224" s="18" t="n">
        <v>50280</v>
      </c>
      <c r="F224" s="18">
        <f>E224*D224</f>
        <v/>
      </c>
      <c r="G224" s="63" t="n"/>
      <c r="H224" s="11" t="n"/>
    </row>
    <row r="225" ht="15.75" customHeight="1">
      <c r="A225" s="11" t="n"/>
      <c r="B225" s="63" t="inlineStr">
        <is>
          <t>60</t>
        </is>
      </c>
      <c r="C225" s="52" t="inlineStr">
        <is>
          <t>Насос ЦНС 320-1350</t>
        </is>
      </c>
      <c r="D225" s="45" t="n"/>
      <c r="E225" s="18" t="n">
        <v>50280</v>
      </c>
      <c r="F225" s="18">
        <f>E225*D225</f>
        <v/>
      </c>
      <c r="G225" s="63" t="n"/>
      <c r="H225" s="11" t="n"/>
    </row>
    <row r="226" ht="15.75" customHeight="1">
      <c r="A226" s="11" t="n"/>
      <c r="B226" s="94" t="inlineStr">
        <is>
          <t>61</t>
        </is>
      </c>
      <c r="C226" s="52" t="inlineStr">
        <is>
          <t>Насос ЦНС 350-1650</t>
        </is>
      </c>
      <c r="D226" s="45" t="n"/>
      <c r="E226" s="18" t="n">
        <v>50280</v>
      </c>
      <c r="F226" s="18">
        <f>E226*D226</f>
        <v/>
      </c>
      <c r="G226" s="63" t="n"/>
      <c r="H226" s="11" t="n"/>
    </row>
    <row r="227" ht="15.75" customHeight="1">
      <c r="A227" s="11" t="n"/>
      <c r="B227" s="63" t="inlineStr">
        <is>
          <t>62</t>
        </is>
      </c>
      <c r="C227" s="77" t="inlineStr">
        <is>
          <t>Насос ЦНС 40/1400</t>
        </is>
      </c>
      <c r="D227" s="45" t="n"/>
      <c r="E227" s="18" t="n">
        <v>50280</v>
      </c>
      <c r="F227" s="18">
        <f>E227*D227</f>
        <v/>
      </c>
      <c r="G227" s="63" t="n"/>
      <c r="H227" s="11" t="n"/>
    </row>
    <row r="228" ht="15.75" customHeight="1">
      <c r="A228" s="11" t="n"/>
      <c r="B228" s="94" t="inlineStr">
        <is>
          <t>63</t>
        </is>
      </c>
      <c r="C228" s="77" t="inlineStr">
        <is>
          <t>Насос ЦНС-13/70…350</t>
        </is>
      </c>
      <c r="D228" s="45" t="n"/>
      <c r="E228" s="18" t="n">
        <v>26625</v>
      </c>
      <c r="F228" s="18">
        <f>E228*D228</f>
        <v/>
      </c>
      <c r="G228" s="63" t="n"/>
      <c r="H228" s="11" t="n"/>
    </row>
    <row r="229" ht="15.75" customHeight="1">
      <c r="A229" s="11" t="n"/>
      <c r="B229" s="63" t="inlineStr">
        <is>
          <t>64</t>
        </is>
      </c>
      <c r="C229" s="77" t="inlineStr">
        <is>
          <t>Насос ЦНС-13/70…350 с торцевым уплотнением</t>
        </is>
      </c>
      <c r="D229" s="45" t="n"/>
      <c r="E229" s="18" t="n">
        <v>26625</v>
      </c>
      <c r="F229" s="18">
        <f>E229*D229</f>
        <v/>
      </c>
      <c r="G229" s="63" t="n"/>
      <c r="H229" s="11" t="n"/>
    </row>
    <row r="230" ht="15.75" customHeight="1">
      <c r="A230" s="11" t="n"/>
      <c r="B230" s="94" t="inlineStr">
        <is>
          <t>65</t>
        </is>
      </c>
      <c r="C230" s="52" t="inlineStr">
        <is>
          <t>Насос ЦНС-38/44…220</t>
        </is>
      </c>
      <c r="D230" s="87" t="n"/>
      <c r="E230" s="87" t="n">
        <v>26625</v>
      </c>
      <c r="F230" s="18">
        <f>E230*D230</f>
        <v/>
      </c>
      <c r="G230" s="63" t="n"/>
      <c r="H230" s="11" t="n"/>
    </row>
    <row r="231" ht="21" customHeight="1">
      <c r="A231" s="11" t="n"/>
      <c r="B231" s="63" t="inlineStr">
        <is>
          <t>66</t>
        </is>
      </c>
      <c r="C231" s="52" t="inlineStr">
        <is>
          <t>Насос ЦНС-38/44…220 с торцевым уплотнением</t>
        </is>
      </c>
      <c r="D231" s="45" t="n"/>
      <c r="E231" s="45" t="n">
        <v>26625</v>
      </c>
      <c r="F231" s="18">
        <f>E231*D231</f>
        <v/>
      </c>
      <c r="G231" s="63" t="n"/>
      <c r="H231" s="11" t="n"/>
    </row>
    <row r="232" ht="15.75" customHeight="1">
      <c r="A232" s="11" t="n"/>
      <c r="B232" s="94" t="inlineStr">
        <is>
          <t>67</t>
        </is>
      </c>
      <c r="C232" s="52" t="inlineStr">
        <is>
          <t>Насос ЦНС-60/66…330</t>
        </is>
      </c>
      <c r="D232" s="45" t="n"/>
      <c r="E232" s="45" t="n">
        <v>26625</v>
      </c>
      <c r="F232" s="18">
        <f>E232*D232</f>
        <v/>
      </c>
      <c r="G232" s="63" t="n"/>
      <c r="H232" s="11" t="n"/>
    </row>
    <row r="233" ht="18.75" customHeight="1">
      <c r="A233" s="11" t="n"/>
      <c r="B233" s="63" t="inlineStr">
        <is>
          <t>68</t>
        </is>
      </c>
      <c r="C233" s="46" t="inlineStr">
        <is>
          <t>Насос ЦНС-60/66…330 с торцевым уплотнением</t>
        </is>
      </c>
      <c r="D233" s="45" t="n"/>
      <c r="E233" s="45" t="n">
        <v>26625</v>
      </c>
      <c r="F233" s="18">
        <f>E233*D233</f>
        <v/>
      </c>
      <c r="G233" s="63" t="n"/>
      <c r="H233" s="11" t="n"/>
    </row>
    <row r="234" ht="15.75" customHeight="1">
      <c r="A234" s="11" t="n"/>
      <c r="B234" s="94" t="inlineStr">
        <is>
          <t>69</t>
        </is>
      </c>
      <c r="C234" s="52" t="inlineStr">
        <is>
          <t xml:space="preserve">Насос ЦНС-63/1000...1900 </t>
        </is>
      </c>
      <c r="D234" s="45" t="n"/>
      <c r="E234" s="45" t="n">
        <v>50280</v>
      </c>
      <c r="F234" s="18">
        <f>E234*D234</f>
        <v/>
      </c>
      <c r="G234" s="63" t="n"/>
      <c r="H234" s="11" t="n"/>
    </row>
    <row r="235" ht="15.75" customHeight="1">
      <c r="A235" s="11" t="n"/>
      <c r="B235" s="63" t="inlineStr">
        <is>
          <t>70</t>
        </is>
      </c>
      <c r="C235" s="52" t="inlineStr">
        <is>
          <t xml:space="preserve">Насос ЦНС-90/1100...1900 </t>
        </is>
      </c>
      <c r="D235" s="45" t="n"/>
      <c r="E235" s="18" t="n">
        <v>50280</v>
      </c>
      <c r="F235" s="18">
        <f>E235*D235</f>
        <v/>
      </c>
      <c r="G235" s="63" t="n"/>
      <c r="H235" s="11" t="n"/>
    </row>
    <row r="236" ht="43.5" customHeight="1">
      <c r="A236" s="11" t="n"/>
      <c r="B236" s="94" t="inlineStr">
        <is>
          <t>71</t>
        </is>
      </c>
      <c r="C236" s="52" t="inlineStr">
        <is>
          <t>Насос шестеренный типа НМШ5-25-4,0/4; НМШ5-25-4,0/10; НМШ5-25-4,0/25; НМШ8-25-6,3/2,5; НМШ8-25-6,3/10; НМШ8-25-6,3/25, НШ 5/25</t>
        </is>
      </c>
      <c r="D236" s="45" t="n"/>
      <c r="E236" s="18" t="n">
        <v>7216</v>
      </c>
      <c r="F236" s="18">
        <f>E236*D236</f>
        <v/>
      </c>
      <c r="G236" s="63" t="n"/>
      <c r="H236" s="11" t="n"/>
    </row>
    <row r="237" hidden="1" ht="15.75" customHeight="1">
      <c r="A237" s="11" t="n"/>
      <c r="B237" s="63" t="inlineStr">
        <is>
          <t>72</t>
        </is>
      </c>
      <c r="C237" s="66" t="inlineStr">
        <is>
          <t>Поршневой компрессор К2</t>
        </is>
      </c>
      <c r="D237" s="64" t="n"/>
      <c r="E237" s="26" t="n">
        <v>24151</v>
      </c>
      <c r="F237" s="26">
        <f>E237*D237</f>
        <v/>
      </c>
      <c r="G237" s="63" t="n"/>
      <c r="H237" s="11" t="n"/>
    </row>
    <row r="238" ht="14.25" customHeight="1">
      <c r="A238" s="11" t="n"/>
      <c r="B238" s="85" t="inlineStr">
        <is>
          <t>ИТОГО:</t>
        </is>
      </c>
      <c r="D238" s="63" t="n"/>
      <c r="E238" s="63" t="n"/>
      <c r="F238" s="26">
        <f>SUM(F166:F237)</f>
        <v/>
      </c>
      <c r="G238" s="63" t="n"/>
      <c r="H238" s="11" t="n"/>
    </row>
    <row r="239" ht="14.25" customHeight="1">
      <c r="A239" s="11" t="n"/>
      <c r="B239" s="90" t="inlineStr">
        <is>
          <t>МОНТАЖ</t>
        </is>
      </c>
      <c r="D239" s="63" t="n"/>
      <c r="E239" s="63" t="n"/>
      <c r="F239" s="26" t="n"/>
      <c r="G239" s="63" t="n"/>
      <c r="H239" s="11" t="n"/>
    </row>
    <row r="240" hidden="1" ht="29.25" customHeight="1">
      <c r="A240" s="11" t="n"/>
      <c r="B240" s="94" t="inlineStr">
        <is>
          <t>1</t>
        </is>
      </c>
      <c r="C240" s="66" t="inlineStr">
        <is>
          <t>Агрегат турбокомпрессорный ТКА-Ц-12/0,4-6,1М1 без двигателя</t>
        </is>
      </c>
      <c r="D240" s="63" t="n"/>
      <c r="E240" s="63" t="n">
        <v>4597789</v>
      </c>
      <c r="F240" s="26">
        <f>E240*D240</f>
        <v/>
      </c>
      <c r="G240" s="63" t="n"/>
      <c r="H240" s="11" t="n"/>
    </row>
    <row r="241" hidden="1" ht="16.5" customHeight="1">
      <c r="A241" s="11" t="n"/>
      <c r="B241" s="63" t="inlineStr">
        <is>
          <t>2</t>
        </is>
      </c>
      <c r="C241" s="66" t="inlineStr">
        <is>
          <t>БНСП 1400-900</t>
        </is>
      </c>
      <c r="D241" s="64" t="n"/>
      <c r="E241" s="64" t="n">
        <v>177535</v>
      </c>
      <c r="F241" s="26">
        <f>E241*D241</f>
        <v/>
      </c>
      <c r="G241" s="63" t="n"/>
      <c r="H241" s="11" t="n"/>
    </row>
    <row r="242" hidden="1" ht="16.5" customHeight="1">
      <c r="A242" s="11" t="n"/>
      <c r="B242" s="94" t="inlineStr">
        <is>
          <t>3</t>
        </is>
      </c>
      <c r="C242" s="66" t="inlineStr">
        <is>
          <t>ГНС 700</t>
        </is>
      </c>
      <c r="D242" s="64" t="n"/>
      <c r="E242" s="64" t="n">
        <v>177535</v>
      </c>
      <c r="F242" s="26">
        <f>E242*D242</f>
        <v/>
      </c>
      <c r="G242" s="63" t="n"/>
      <c r="H242" s="11" t="n"/>
    </row>
    <row r="243" hidden="1" ht="16.5" customHeight="1">
      <c r="A243" s="11" t="n"/>
      <c r="B243" s="63" t="inlineStr">
        <is>
          <t>4</t>
        </is>
      </c>
      <c r="C243" s="100" t="inlineStr">
        <is>
          <t>ГНС S 100 N</t>
        </is>
      </c>
      <c r="D243" s="64" t="n"/>
      <c r="E243" s="64" t="n">
        <v>177535</v>
      </c>
      <c r="F243" s="26">
        <f>E243*D243</f>
        <v/>
      </c>
      <c r="G243" s="63" t="n"/>
      <c r="H243" s="11" t="n"/>
    </row>
    <row r="244" hidden="1" ht="16.5" customHeight="1">
      <c r="A244" s="11" t="n"/>
      <c r="B244" s="94" t="inlineStr">
        <is>
          <t>5</t>
        </is>
      </c>
      <c r="C244" s="66" t="inlineStr">
        <is>
          <t>ГНС S 175 N</t>
        </is>
      </c>
      <c r="D244" s="64" t="n"/>
      <c r="E244" s="64" t="n">
        <v>177535</v>
      </c>
      <c r="F244" s="26">
        <f>E244*D244</f>
        <v/>
      </c>
      <c r="G244" s="63" t="n"/>
      <c r="H244" s="11" t="n"/>
    </row>
    <row r="245" hidden="1" ht="16.5" customHeight="1">
      <c r="A245" s="11" t="n"/>
      <c r="B245" s="63" t="inlineStr">
        <is>
          <t>6</t>
        </is>
      </c>
      <c r="C245" s="66" t="inlineStr">
        <is>
          <t>ГНУ 3000/1900</t>
        </is>
      </c>
      <c r="D245" s="64" t="n"/>
      <c r="E245" s="26" t="n">
        <v>177535</v>
      </c>
      <c r="F245" s="26">
        <f>E245*D245</f>
        <v/>
      </c>
      <c r="G245" s="63" t="n"/>
      <c r="H245" s="11" t="n"/>
    </row>
    <row r="246" hidden="1" ht="16.5" customHeight="1">
      <c r="A246" s="11" t="n"/>
      <c r="B246" s="94" t="inlineStr">
        <is>
          <t>7</t>
        </is>
      </c>
      <c r="C246" s="66" t="inlineStr">
        <is>
          <t>Насос плунжерный КАМАТ тип К</t>
        </is>
      </c>
      <c r="D246" s="64" t="n"/>
      <c r="E246" s="26" t="n">
        <v>121503</v>
      </c>
      <c r="F246" s="26">
        <f>E246*D246</f>
        <v/>
      </c>
      <c r="G246" s="63" t="n"/>
      <c r="H246" s="11" t="n"/>
    </row>
    <row r="247" hidden="1" ht="16.5" customHeight="1">
      <c r="A247" s="11" t="n"/>
      <c r="B247" s="63" t="inlineStr">
        <is>
          <t>8</t>
        </is>
      </c>
      <c r="C247" s="66" t="inlineStr">
        <is>
          <t>Компрессор 2НВ2КТ/126/330</t>
        </is>
      </c>
      <c r="D247" s="64" t="n"/>
      <c r="E247" s="26" t="n">
        <v>58580</v>
      </c>
      <c r="F247" s="26">
        <f>E247*D247</f>
        <v/>
      </c>
      <c r="G247" s="63" t="n"/>
      <c r="H247" s="11" t="n"/>
    </row>
    <row r="248" hidden="1" ht="16.5" customHeight="1">
      <c r="A248" s="11" t="n"/>
      <c r="B248" s="94" t="inlineStr">
        <is>
          <t>9</t>
        </is>
      </c>
      <c r="C248" s="66" t="inlineStr">
        <is>
          <t>Компрессор 4ВУ1-5/9</t>
        </is>
      </c>
      <c r="D248" s="64" t="n"/>
      <c r="E248" s="26" t="n">
        <v>61350</v>
      </c>
      <c r="F248" s="26">
        <f>E248*D248</f>
        <v/>
      </c>
      <c r="G248" s="63" t="n"/>
      <c r="H248" s="11" t="n"/>
    </row>
    <row r="249" hidden="1" ht="16.5" customHeight="1">
      <c r="A249" s="11" t="n"/>
      <c r="B249" s="63" t="inlineStr">
        <is>
          <t>10</t>
        </is>
      </c>
      <c r="C249" s="66" t="inlineStr">
        <is>
          <t>Компрессор A2YI-52-16-8, К-10А2У1-52-16</t>
        </is>
      </c>
      <c r="D249" s="64" t="n"/>
      <c r="E249" s="26" t="n">
        <v>16899</v>
      </c>
      <c r="F249" s="26">
        <f>E249*D249</f>
        <v/>
      </c>
      <c r="G249" s="63" t="n"/>
      <c r="H249" s="11" t="n"/>
    </row>
    <row r="250" hidden="1" ht="16.5" customHeight="1">
      <c r="A250" s="11" t="n"/>
      <c r="B250" s="94" t="inlineStr">
        <is>
          <t>11</t>
        </is>
      </c>
      <c r="C250" s="66" t="inlineStr">
        <is>
          <t>Компрессор воздушный Atlas Copco ZT90VSD</t>
        </is>
      </c>
      <c r="D250" s="64" t="n"/>
      <c r="E250" s="26" t="n">
        <v>104590</v>
      </c>
      <c r="F250" s="26">
        <f>E250*D250</f>
        <v/>
      </c>
      <c r="G250" s="63" t="n"/>
      <c r="H250" s="11" t="n"/>
    </row>
    <row r="251" hidden="1" ht="16.5" customHeight="1">
      <c r="A251" s="11" t="n"/>
      <c r="B251" s="63" t="inlineStr">
        <is>
          <t>12</t>
        </is>
      </c>
      <c r="C251" s="66" t="inlineStr">
        <is>
          <t>Компрессор ТАКАТ 11.05;  Борец 1С2ГП;  EGSI-S-150/200 WA</t>
        </is>
      </c>
      <c r="D251" s="64" t="n"/>
      <c r="E251" s="26" t="n">
        <v>52040</v>
      </c>
      <c r="F251" s="26">
        <f>E251*D251</f>
        <v/>
      </c>
      <c r="G251" s="63" t="n"/>
      <c r="H251" s="11" t="n"/>
    </row>
    <row r="252" ht="15.75" customHeight="1">
      <c r="A252" s="11" t="n"/>
      <c r="B252" s="94" t="inlineStr">
        <is>
          <t>13</t>
        </is>
      </c>
      <c r="C252" s="66" t="inlineStr">
        <is>
          <t>Насос Д160-112Б</t>
        </is>
      </c>
      <c r="D252" s="64" t="n"/>
      <c r="E252" s="26" t="n">
        <v>23217</v>
      </c>
      <c r="F252" s="26">
        <f>E252*D252</f>
        <v/>
      </c>
      <c r="G252" s="63" t="n"/>
      <c r="H252" s="11" t="n"/>
    </row>
    <row r="253" ht="15.75" customHeight="1">
      <c r="A253" s="11" t="n"/>
      <c r="B253" s="63" t="inlineStr">
        <is>
          <t>14</t>
        </is>
      </c>
      <c r="C253" s="66" t="inlineStr">
        <is>
          <t>Насос 1 Д200-90</t>
        </is>
      </c>
      <c r="D253" s="64" t="n"/>
      <c r="E253" s="26" t="n">
        <v>18271</v>
      </c>
      <c r="F253" s="26">
        <f>E253*D253</f>
        <v/>
      </c>
      <c r="G253" s="63" t="n"/>
      <c r="H253" s="11" t="n"/>
    </row>
    <row r="254" ht="15.75" customHeight="1">
      <c r="A254" s="11" t="n"/>
      <c r="B254" s="94" t="inlineStr">
        <is>
          <t>15</t>
        </is>
      </c>
      <c r="C254" s="66" t="inlineStr">
        <is>
          <t>Насос 1 Д250-125</t>
        </is>
      </c>
      <c r="D254" s="64" t="n"/>
      <c r="E254" s="26" t="n">
        <v>18271</v>
      </c>
      <c r="F254" s="26">
        <f>E254*D254</f>
        <v/>
      </c>
      <c r="G254" s="63" t="n"/>
      <c r="H254" s="11" t="n"/>
    </row>
    <row r="255" ht="15.75" customHeight="1">
      <c r="A255" s="11" t="n"/>
      <c r="B255" s="63" t="inlineStr">
        <is>
          <t>16</t>
        </is>
      </c>
      <c r="C255" s="66" t="inlineStr">
        <is>
          <t>Насос 1 Д315-50...71</t>
        </is>
      </c>
      <c r="D255" s="64" t="n"/>
      <c r="E255" s="26" t="n">
        <v>18271</v>
      </c>
      <c r="F255" s="26">
        <f>E255*D255</f>
        <v/>
      </c>
      <c r="G255" s="63" t="n"/>
      <c r="H255" s="11" t="n"/>
    </row>
    <row r="256" ht="15.75" customHeight="1">
      <c r="A256" s="11" t="n"/>
      <c r="B256" s="94" t="inlineStr">
        <is>
          <t>17</t>
        </is>
      </c>
      <c r="C256" s="66" t="inlineStr">
        <is>
          <t>Насос 1 Д500-63</t>
        </is>
      </c>
      <c r="D256" s="64" t="n"/>
      <c r="E256" s="26" t="n">
        <v>18271</v>
      </c>
      <c r="F256" s="26">
        <f>E256*D256</f>
        <v/>
      </c>
      <c r="G256" s="63" t="n"/>
      <c r="H256" s="11" t="n"/>
    </row>
    <row r="257" ht="15.75" customHeight="1">
      <c r="A257" s="11" t="n"/>
      <c r="B257" s="63" t="inlineStr">
        <is>
          <t>18</t>
        </is>
      </c>
      <c r="C257" s="66" t="inlineStr">
        <is>
          <t>Насос 1 Д630-90...125</t>
        </is>
      </c>
      <c r="D257" s="45" t="n"/>
      <c r="E257" s="18" t="n">
        <v>43240</v>
      </c>
      <c r="F257" s="18">
        <f>E257*D257</f>
        <v/>
      </c>
      <c r="G257" s="63" t="n"/>
      <c r="H257" s="11" t="n"/>
    </row>
    <row r="258" ht="12.75" customHeight="1">
      <c r="A258" s="11" t="n"/>
      <c r="B258" s="94" t="inlineStr">
        <is>
          <t>19</t>
        </is>
      </c>
      <c r="C258" s="66" t="inlineStr">
        <is>
          <t>Насос 1 Д1250-63…125</t>
        </is>
      </c>
      <c r="D258" s="45" t="n"/>
      <c r="E258" s="18" t="n">
        <v>43240</v>
      </c>
      <c r="F258" s="18">
        <f>E258*D258</f>
        <v/>
      </c>
      <c r="G258" s="63" t="n"/>
      <c r="H258" s="11" t="n"/>
    </row>
    <row r="259" ht="15.75" customHeight="1">
      <c r="A259" s="11" t="n"/>
      <c r="B259" s="63" t="inlineStr">
        <is>
          <t>20</t>
        </is>
      </c>
      <c r="C259" s="66" t="inlineStr">
        <is>
          <t>Насос 12НА-9х4</t>
        </is>
      </c>
      <c r="D259" s="45" t="n"/>
      <c r="E259" s="18" t="n">
        <v>24276</v>
      </c>
      <c r="F259" s="18">
        <f>E259*D259</f>
        <v/>
      </c>
      <c r="G259" s="63" t="n"/>
      <c r="H259" s="11" t="n"/>
    </row>
    <row r="260" hidden="1" ht="15.75" customHeight="1">
      <c r="A260" s="11" t="n"/>
      <c r="B260" s="94" t="inlineStr">
        <is>
          <t>21</t>
        </is>
      </c>
      <c r="C260" s="66" t="inlineStr">
        <is>
          <t>Насос 1АСВН-80АМ(С)/6</t>
        </is>
      </c>
      <c r="D260" s="45" t="n"/>
      <c r="E260" s="18" t="n">
        <v>59522</v>
      </c>
      <c r="F260" s="18">
        <f>E260*D260</f>
        <v/>
      </c>
      <c r="G260" s="63" t="n"/>
      <c r="H260" s="11" t="n"/>
    </row>
    <row r="261" hidden="1" ht="15.75" customHeight="1">
      <c r="A261" s="11" t="n"/>
      <c r="B261" s="63" t="inlineStr">
        <is>
          <t>22</t>
        </is>
      </c>
      <c r="C261" s="66" t="inlineStr">
        <is>
          <t>Насос 20А-18-1-11</t>
        </is>
      </c>
      <c r="D261" s="45" t="n"/>
      <c r="E261" s="18" t="n">
        <v>139731</v>
      </c>
      <c r="F261" s="18">
        <f>E261*D261</f>
        <v/>
      </c>
      <c r="G261" s="63" t="n"/>
      <c r="H261" s="11" t="n"/>
    </row>
    <row r="262" hidden="1" ht="15.75" customHeight="1">
      <c r="A262" s="11" t="n"/>
      <c r="B262" s="94" t="inlineStr">
        <is>
          <t>23</t>
        </is>
      </c>
      <c r="C262" s="66" t="inlineStr">
        <is>
          <t>Насос BUL 6,3/64</t>
        </is>
      </c>
      <c r="D262" s="45" t="n"/>
      <c r="E262" s="18" t="n">
        <v>2721</v>
      </c>
      <c r="F262" s="18">
        <f>E262*D262</f>
        <v/>
      </c>
      <c r="G262" s="63" t="n"/>
      <c r="H262" s="11" t="n"/>
    </row>
    <row r="263" hidden="1" ht="15.75" customHeight="1">
      <c r="A263" s="11" t="n"/>
      <c r="B263" s="63" t="inlineStr">
        <is>
          <t>24</t>
        </is>
      </c>
      <c r="C263" s="66" t="inlineStr">
        <is>
          <t>Насос CR15-02</t>
        </is>
      </c>
      <c r="D263" s="45" t="n"/>
      <c r="E263" s="18" t="n">
        <v>9624</v>
      </c>
      <c r="F263" s="18">
        <f>E263*D263</f>
        <v/>
      </c>
      <c r="G263" s="63" t="n"/>
      <c r="H263" s="11" t="n"/>
    </row>
    <row r="264" hidden="1" ht="15.75" customHeight="1">
      <c r="A264" s="11" t="n"/>
      <c r="B264" s="94" t="inlineStr">
        <is>
          <t>25</t>
        </is>
      </c>
      <c r="C264" s="66" t="inlineStr">
        <is>
          <t>Насос CRE20-01</t>
        </is>
      </c>
      <c r="D264" s="45" t="n"/>
      <c r="E264" s="18" t="n">
        <v>9624</v>
      </c>
      <c r="F264" s="18">
        <f>E264*D264</f>
        <v/>
      </c>
      <c r="G264" s="63" t="n"/>
      <c r="H264" s="11" t="n"/>
    </row>
    <row r="265" hidden="1" ht="15.75" customHeight="1">
      <c r="A265" s="11" t="n"/>
      <c r="B265" s="63" t="inlineStr">
        <is>
          <t>26</t>
        </is>
      </c>
      <c r="C265" s="66" t="inlineStr">
        <is>
          <t>Насос KRGH 40/315; KRGH 80/315, KRGH 200/500</t>
        </is>
      </c>
      <c r="D265" s="45" t="n"/>
      <c r="E265" s="18" t="n">
        <v>37560</v>
      </c>
      <c r="F265" s="18">
        <f>E265*D265</f>
        <v/>
      </c>
      <c r="G265" s="63" t="n"/>
      <c r="H265" s="11" t="n"/>
    </row>
    <row r="266" hidden="1" ht="15.75" customHeight="1">
      <c r="A266" s="11" t="n"/>
      <c r="B266" s="94" t="inlineStr">
        <is>
          <t>27</t>
        </is>
      </c>
      <c r="C266" s="66" t="inlineStr">
        <is>
          <t xml:space="preserve">Насос NF50BP </t>
        </is>
      </c>
      <c r="D266" s="45" t="n"/>
      <c r="E266" s="18" t="n">
        <v>44840</v>
      </c>
      <c r="F266" s="18">
        <f>E266*D266</f>
        <v/>
      </c>
      <c r="G266" s="63" t="n"/>
      <c r="H266" s="11" t="n"/>
    </row>
    <row r="267" hidden="1" ht="15.75" customHeight="1">
      <c r="A267" s="11" t="n"/>
      <c r="B267" s="63" t="inlineStr">
        <is>
          <t>28</t>
        </is>
      </c>
      <c r="C267" s="69" t="inlineStr">
        <is>
          <t>Насос NM038BT02S12B</t>
        </is>
      </c>
      <c r="D267" s="45" t="n"/>
      <c r="E267" s="18" t="n">
        <v>57631</v>
      </c>
      <c r="F267" s="18">
        <f>E267*D267</f>
        <v/>
      </c>
      <c r="G267" s="63" t="n"/>
      <c r="H267" s="11" t="n"/>
    </row>
    <row r="268" hidden="1" ht="15.75" customHeight="1">
      <c r="A268" s="11" t="n"/>
      <c r="B268" s="94" t="inlineStr">
        <is>
          <t>29</t>
        </is>
      </c>
      <c r="C268" s="66" t="inlineStr">
        <is>
          <t>Насос PIAX 32/28</t>
        </is>
      </c>
      <c r="D268" s="45" t="n"/>
      <c r="E268" s="18" t="n">
        <v>2721</v>
      </c>
      <c r="F268" s="18">
        <f>E268*D268</f>
        <v/>
      </c>
      <c r="G268" s="63" t="n"/>
      <c r="H268" s="11" t="n"/>
    </row>
    <row r="269" hidden="1" ht="15.75" customHeight="1">
      <c r="A269" s="11" t="n"/>
      <c r="B269" s="63" t="inlineStr">
        <is>
          <t>30</t>
        </is>
      </c>
      <c r="C269" s="50" t="inlineStr">
        <is>
          <t>Насос PKG100L50H17 2/9C5VV3Z</t>
        </is>
      </c>
      <c r="D269" s="45" t="n"/>
      <c r="E269" s="18" t="n">
        <v>28777</v>
      </c>
      <c r="F269" s="18">
        <f>E269*D269</f>
        <v/>
      </c>
      <c r="G269" s="63" t="n"/>
      <c r="H269" s="11" t="n"/>
    </row>
    <row r="270" hidden="1" ht="15.75" customHeight="1">
      <c r="A270" s="11" t="n"/>
      <c r="B270" s="94" t="inlineStr">
        <is>
          <t>31</t>
        </is>
      </c>
      <c r="C270" s="50" t="inlineStr">
        <is>
          <t>Насос SEG 40.12.2/1.502</t>
        </is>
      </c>
      <c r="D270" s="45" t="n"/>
      <c r="E270" s="18" t="n">
        <v>28777</v>
      </c>
      <c r="F270" s="18">
        <f>E270*D270</f>
        <v/>
      </c>
      <c r="G270" s="63" t="n"/>
      <c r="H270" s="11" t="n"/>
    </row>
    <row r="271" ht="15.75" customHeight="1">
      <c r="A271" s="11" t="n"/>
      <c r="B271" s="63" t="inlineStr">
        <is>
          <t>32</t>
        </is>
      </c>
      <c r="C271" s="50" t="inlineStr">
        <is>
          <t>Насос АХП 45/31, АХП 50-32-200…80-65-160</t>
        </is>
      </c>
      <c r="D271" s="45" t="n"/>
      <c r="E271" s="18" t="n">
        <v>12123</v>
      </c>
      <c r="F271" s="18">
        <f>E271*D271</f>
        <v/>
      </c>
      <c r="G271" s="63" t="n"/>
      <c r="H271" s="11" t="n"/>
    </row>
    <row r="272" ht="15.75" customHeight="1">
      <c r="A272" s="11" t="n"/>
      <c r="B272" s="94" t="inlineStr">
        <is>
          <t>33</t>
        </is>
      </c>
      <c r="C272" s="66" t="inlineStr">
        <is>
          <t>Насос ВКС 2/26</t>
        </is>
      </c>
      <c r="D272" s="87" t="n"/>
      <c r="E272" s="87" t="n">
        <v>8711</v>
      </c>
      <c r="F272" s="18">
        <f>E272*D272</f>
        <v/>
      </c>
      <c r="G272" s="63" t="n"/>
      <c r="H272" s="11" t="n"/>
    </row>
    <row r="273" ht="15.75" customHeight="1">
      <c r="A273" s="11" t="n"/>
      <c r="B273" s="63" t="inlineStr">
        <is>
          <t>34</t>
        </is>
      </c>
      <c r="C273" s="66" t="inlineStr">
        <is>
          <t>Насос ВНД 80/43; ВНД 50/350, ВНД 50/100, ВНД 6,3/12,5</t>
        </is>
      </c>
      <c r="D273" s="45" t="n"/>
      <c r="E273" s="45" t="n">
        <v>9624</v>
      </c>
      <c r="F273" s="18">
        <f>E273*D273</f>
        <v/>
      </c>
      <c r="G273" s="63" t="n"/>
      <c r="H273" s="11" t="n"/>
    </row>
    <row r="274" ht="15.75" customHeight="1">
      <c r="A274" s="11" t="n"/>
      <c r="B274" s="94" t="inlineStr">
        <is>
          <t>35</t>
        </is>
      </c>
      <c r="C274" s="66" t="inlineStr">
        <is>
          <t>Насос горизонтальный консольный типа К80-65-160…100-65-250</t>
        </is>
      </c>
      <c r="D274" s="45" t="n"/>
      <c r="E274" s="45" t="n">
        <v>4751</v>
      </c>
      <c r="F274" s="18">
        <f>E274*D274</f>
        <v/>
      </c>
      <c r="G274" s="63" t="n"/>
      <c r="H274" s="11" t="n"/>
    </row>
    <row r="275" ht="15.75" customHeight="1">
      <c r="A275" s="11" t="n"/>
      <c r="B275" s="63" t="inlineStr">
        <is>
          <t>36</t>
        </is>
      </c>
      <c r="C275" s="100" t="inlineStr">
        <is>
          <t>Насос ГХИ 6,3/32</t>
        </is>
      </c>
      <c r="D275" s="45" t="n"/>
      <c r="E275" s="45" t="n">
        <v>9624</v>
      </c>
      <c r="F275" s="18">
        <f>E275*D275</f>
        <v/>
      </c>
      <c r="G275" s="63" t="n"/>
      <c r="H275" s="11" t="n"/>
    </row>
    <row r="276" ht="15.75" customHeight="1">
      <c r="A276" s="11" t="n"/>
      <c r="B276" s="94" t="inlineStr">
        <is>
          <t>37</t>
        </is>
      </c>
      <c r="C276" s="66" t="inlineStr">
        <is>
          <t>Насос дозировочный типа ДП</t>
        </is>
      </c>
      <c r="D276" s="45" t="n"/>
      <c r="E276" s="45" t="n">
        <v>10314</v>
      </c>
      <c r="F276" s="18">
        <f>E276*D276</f>
        <v/>
      </c>
      <c r="G276" s="63" t="n"/>
      <c r="H276" s="11" t="n"/>
    </row>
    <row r="277" ht="15.75" customHeight="1">
      <c r="A277" s="11" t="n"/>
      <c r="B277" s="63" t="inlineStr">
        <is>
          <t>38</t>
        </is>
      </c>
      <c r="C277" s="66" t="inlineStr">
        <is>
          <t>Насос дозировочный типа НД 0,1…40/10...160</t>
        </is>
      </c>
      <c r="D277" s="45" t="n"/>
      <c r="E277" s="18" t="n">
        <v>10314</v>
      </c>
      <c r="F277" s="18">
        <f>E277*D277</f>
        <v/>
      </c>
      <c r="G277" s="63" t="n"/>
      <c r="H277" s="11" t="n"/>
    </row>
    <row r="278" hidden="1" ht="15.75" customHeight="1">
      <c r="A278" s="11" t="n"/>
      <c r="B278" s="94" t="inlineStr">
        <is>
          <t>39</t>
        </is>
      </c>
      <c r="C278" s="66" t="inlineStr">
        <is>
          <t>Насос дозировочный типа НДМ,НДХ (мембранные)</t>
        </is>
      </c>
      <c r="D278" s="45" t="n"/>
      <c r="E278" s="18" t="n">
        <v>15452</v>
      </c>
      <c r="F278" s="18">
        <f>E278*D278</f>
        <v/>
      </c>
      <c r="G278" s="63" t="n"/>
      <c r="H278" s="11" t="n"/>
    </row>
    <row r="279" hidden="1" ht="15.75" customHeight="1">
      <c r="A279" s="11" t="n"/>
      <c r="B279" s="63" t="inlineStr">
        <is>
          <t>40</t>
        </is>
      </c>
      <c r="C279" s="66" t="inlineStr">
        <is>
          <t>Насос дозировочный типа УН1Д-Р</t>
        </is>
      </c>
      <c r="D279" s="45" t="n"/>
      <c r="E279" s="18" t="n">
        <v>15452</v>
      </c>
      <c r="F279" s="18">
        <f>E279*D279</f>
        <v/>
      </c>
      <c r="G279" s="63" t="n"/>
      <c r="H279" s="11" t="n"/>
    </row>
    <row r="280" ht="33" customHeight="1">
      <c r="A280" s="11" t="n"/>
      <c r="B280" s="94" t="inlineStr">
        <is>
          <t>41</t>
        </is>
      </c>
      <c r="C280" s="66" t="inlineStr">
        <is>
          <t>Насос НВ-Мв-50/80; Насос НВ-Мв-Е-50/80; Насос НВ-Мт-50/80; Насос НВ-Мт-Е-50/80; НВД 50/80</t>
        </is>
      </c>
      <c r="D280" s="45" t="n"/>
      <c r="E280" s="18" t="n">
        <v>9624</v>
      </c>
      <c r="F280" s="18">
        <f>E280*D280</f>
        <v/>
      </c>
      <c r="G280" s="63" t="n"/>
      <c r="H280" s="11" t="n"/>
    </row>
    <row r="281" ht="42" customHeight="1">
      <c r="A281" s="11" t="n"/>
      <c r="B281" s="63" t="inlineStr">
        <is>
          <t>42</t>
        </is>
      </c>
      <c r="C281" s="66" t="inlineStr">
        <is>
          <t>Насос НВ-Мн-50/50; Насос НВ-Мн-Е-50/50; Насос НВ-Мт-50/50; Насос НВ-Мт-Е-50/50; НВД 50/50; Насос НВ-50/50; Насос НВ-Е-50/50</t>
        </is>
      </c>
      <c r="D281" s="45" t="n"/>
      <c r="E281" s="18" t="n">
        <v>9624</v>
      </c>
      <c r="F281" s="18">
        <f>E281*D281</f>
        <v/>
      </c>
      <c r="G281" s="63" t="n"/>
      <c r="H281" s="11" t="n"/>
    </row>
    <row r="282" ht="15.75" customHeight="1">
      <c r="A282" s="11" t="n"/>
      <c r="B282" s="94" t="inlineStr">
        <is>
          <t>43</t>
        </is>
      </c>
      <c r="C282" s="66" t="inlineStr">
        <is>
          <t xml:space="preserve">Насос НПВ 1250/60 </t>
        </is>
      </c>
      <c r="D282" s="45" t="n"/>
      <c r="E282" s="18" t="n">
        <v>121726</v>
      </c>
      <c r="F282" s="18">
        <f>E282*D282</f>
        <v/>
      </c>
      <c r="G282" s="63" t="n"/>
      <c r="H282" s="11" t="n"/>
    </row>
    <row r="283" hidden="1" ht="15.75" customHeight="1">
      <c r="A283" s="11" t="n"/>
      <c r="B283" s="63" t="inlineStr">
        <is>
          <t>44</t>
        </is>
      </c>
      <c r="C283" s="66" t="inlineStr">
        <is>
          <t>Насос НЦСГ-Е-5-100-П2,5; НЦСГ-Е-12,5-150 -П2,5; НЦСГ-Е-2-40-П</t>
        </is>
      </c>
      <c r="D283" s="45" t="n"/>
      <c r="E283" s="18" t="n">
        <v>94128</v>
      </c>
      <c r="F283" s="18">
        <f>E283*D283</f>
        <v/>
      </c>
      <c r="G283" s="63" t="n"/>
      <c r="H283" s="11" t="n"/>
    </row>
    <row r="284" hidden="1" ht="15.75" customHeight="1">
      <c r="A284" s="11" t="n"/>
      <c r="B284" s="94" t="inlineStr">
        <is>
          <t>45</t>
        </is>
      </c>
      <c r="C284" s="66" t="inlineStr">
        <is>
          <t>Насос СR 32-3-2</t>
        </is>
      </c>
      <c r="D284" s="45" t="n"/>
      <c r="E284" s="18" t="n">
        <v>9624</v>
      </c>
      <c r="F284" s="18">
        <f>E284*D284</f>
        <v/>
      </c>
      <c r="G284" s="63" t="n"/>
      <c r="H284" s="11" t="n"/>
    </row>
    <row r="285" hidden="1" ht="15.75" customHeight="1">
      <c r="A285" s="11" t="n"/>
      <c r="B285" s="63" t="inlineStr">
        <is>
          <t>46</t>
        </is>
      </c>
      <c r="C285" s="66" t="inlineStr">
        <is>
          <t>Насос типа ЦГ6,3/32-2,2-2; ЦГ 6,3/32-2,2-5; ЦГ 6,3/20-1,1-2; ЦГ 6,3/32-1,1-5</t>
        </is>
      </c>
      <c r="D285" s="45" t="n"/>
      <c r="E285" s="18" t="n">
        <v>17662</v>
      </c>
      <c r="F285" s="18">
        <f>E285*D285</f>
        <v/>
      </c>
      <c r="G285" s="63" t="n"/>
      <c r="H285" s="11" t="n"/>
    </row>
    <row r="286" hidden="1" ht="15.75" customHeight="1">
      <c r="A286" s="11" t="n"/>
      <c r="B286" s="94" t="inlineStr">
        <is>
          <t>47</t>
        </is>
      </c>
      <c r="C286" s="66" t="inlineStr">
        <is>
          <t>Насос ТР 100-820/2</t>
        </is>
      </c>
      <c r="D286" s="45" t="n"/>
      <c r="E286" s="18" t="n">
        <v>20444</v>
      </c>
      <c r="F286" s="18">
        <f>E286*D286</f>
        <v/>
      </c>
      <c r="G286" s="63" t="n"/>
      <c r="H286" s="11" t="n"/>
    </row>
    <row r="287" hidden="1" ht="15.75" customHeight="1">
      <c r="A287" s="11" t="n"/>
      <c r="B287" s="63" t="inlineStr">
        <is>
          <t>48</t>
        </is>
      </c>
      <c r="C287" s="66" t="inlineStr">
        <is>
          <t>Насос ХПЕ 80-50-200</t>
        </is>
      </c>
      <c r="D287" s="45" t="n"/>
      <c r="E287" s="18" t="n">
        <v>20444</v>
      </c>
      <c r="F287" s="18">
        <f>E287*D287</f>
        <v/>
      </c>
      <c r="G287" s="63" t="n"/>
      <c r="H287" s="11" t="n"/>
    </row>
    <row r="288" ht="15.75" customHeight="1">
      <c r="A288" s="11" t="n"/>
      <c r="B288" s="94" t="inlineStr">
        <is>
          <t>49</t>
        </is>
      </c>
      <c r="C288" s="66" t="inlineStr">
        <is>
          <t>Насос ЦНС 105/98…490</t>
        </is>
      </c>
      <c r="D288" s="45" t="n"/>
      <c r="E288" s="18" t="n">
        <v>64822</v>
      </c>
      <c r="F288" s="18">
        <f>E288*D288</f>
        <v/>
      </c>
      <c r="G288" s="63" t="n"/>
      <c r="H288" s="11" t="n"/>
    </row>
    <row r="289" ht="15.75" customHeight="1">
      <c r="A289" s="11" t="n"/>
      <c r="B289" s="63" t="inlineStr">
        <is>
          <t>50</t>
        </is>
      </c>
      <c r="C289" s="66" t="inlineStr">
        <is>
          <t>Насос ЦНС 105/98…490 с торцевым уплотнением</t>
        </is>
      </c>
      <c r="D289" s="45" t="n"/>
      <c r="E289" s="18" t="n">
        <v>64822</v>
      </c>
      <c r="F289" s="18">
        <f>E289*D289</f>
        <v/>
      </c>
      <c r="G289" s="63" t="n"/>
      <c r="H289" s="11" t="n"/>
    </row>
    <row r="290" ht="15.75" customHeight="1">
      <c r="A290" s="11" t="n"/>
      <c r="B290" s="94" t="inlineStr">
        <is>
          <t>51</t>
        </is>
      </c>
      <c r="C290" s="66" t="inlineStr">
        <is>
          <t>Насос ЦНС 100...180/870…2050</t>
        </is>
      </c>
      <c r="D290" s="45" t="n"/>
      <c r="E290" s="18" t="n">
        <v>138589</v>
      </c>
      <c r="F290" s="18">
        <f>E290*D290</f>
        <v/>
      </c>
      <c r="G290" s="63" t="n"/>
      <c r="H290" s="11" t="n"/>
    </row>
    <row r="291" ht="15.75" customHeight="1">
      <c r="A291" s="11" t="n"/>
      <c r="B291" s="63" t="inlineStr">
        <is>
          <t>52</t>
        </is>
      </c>
      <c r="C291" s="66" t="inlineStr">
        <is>
          <t>Насос ЦНС 180/85…425</t>
        </is>
      </c>
      <c r="D291" s="45" t="n"/>
      <c r="E291" s="18" t="n">
        <v>89762</v>
      </c>
      <c r="F291" s="18">
        <f>E291*D291</f>
        <v/>
      </c>
      <c r="G291" s="63" t="n"/>
      <c r="H291" s="11" t="n"/>
    </row>
    <row r="292" ht="15.75" customHeight="1">
      <c r="A292" s="11" t="n"/>
      <c r="B292" s="94" t="inlineStr">
        <is>
          <t>53</t>
        </is>
      </c>
      <c r="C292" s="66" t="inlineStr">
        <is>
          <t>Насос ЦНС 180/85…425 с торцевым уплотнением</t>
        </is>
      </c>
      <c r="D292" s="45" t="n"/>
      <c r="E292" s="18" t="n">
        <v>89762</v>
      </c>
      <c r="F292" s="18">
        <f>E292*D292</f>
        <v/>
      </c>
      <c r="G292" s="63" t="n"/>
      <c r="H292" s="11" t="n"/>
    </row>
    <row r="293" ht="12.75" customHeight="1">
      <c r="A293" s="11" t="n"/>
      <c r="B293" s="63" t="inlineStr">
        <is>
          <t>54</t>
        </is>
      </c>
      <c r="C293" s="66" t="inlineStr">
        <is>
          <t xml:space="preserve">Насос ЦНС 225...280/870...1900 </t>
        </is>
      </c>
      <c r="D293" s="45" t="n"/>
      <c r="E293" s="18" t="n">
        <v>138589</v>
      </c>
      <c r="F293" s="18">
        <f>E293*D293</f>
        <v/>
      </c>
      <c r="G293" s="63" t="n"/>
      <c r="H293" s="11" t="n"/>
    </row>
    <row r="294" ht="15.75" customHeight="1">
      <c r="A294" s="11" t="n"/>
      <c r="B294" s="94" t="inlineStr">
        <is>
          <t>55</t>
        </is>
      </c>
      <c r="C294" s="66" t="inlineStr">
        <is>
          <t>Насос ЦНС 300/120…300</t>
        </is>
      </c>
      <c r="D294" s="45" t="n"/>
      <c r="E294" s="18" t="n">
        <v>138589</v>
      </c>
      <c r="F294" s="18">
        <f>E294*D294</f>
        <v/>
      </c>
      <c r="G294" s="63" t="n"/>
      <c r="H294" s="11" t="n"/>
    </row>
    <row r="295" ht="15.75" customHeight="1">
      <c r="A295" s="11" t="n"/>
      <c r="B295" s="63" t="inlineStr">
        <is>
          <t>56</t>
        </is>
      </c>
      <c r="C295" s="66" t="inlineStr">
        <is>
          <t>Насос ЦНС 300/120…300 с торцевым уплотнением</t>
        </is>
      </c>
      <c r="D295" s="45" t="n"/>
      <c r="E295" s="18" t="n">
        <v>138589</v>
      </c>
      <c r="F295" s="18">
        <f>E295*D295</f>
        <v/>
      </c>
      <c r="G295" s="63" t="n"/>
      <c r="H295" s="11" t="n"/>
    </row>
    <row r="296" ht="15.75" customHeight="1">
      <c r="A296" s="11" t="n"/>
      <c r="B296" s="94" t="inlineStr">
        <is>
          <t>57</t>
        </is>
      </c>
      <c r="C296" s="66" t="inlineStr">
        <is>
          <t>Насос ЦНС 300/360…660</t>
        </is>
      </c>
      <c r="D296" s="45" t="n"/>
      <c r="E296" s="18" t="n">
        <v>138589</v>
      </c>
      <c r="F296" s="18">
        <f>E296*D296</f>
        <v/>
      </c>
      <c r="G296" s="63" t="n"/>
      <c r="H296" s="11" t="n"/>
    </row>
    <row r="297" ht="15.75" customHeight="1">
      <c r="A297" s="11" t="n"/>
      <c r="B297" s="63" t="inlineStr">
        <is>
          <t>58</t>
        </is>
      </c>
      <c r="C297" s="66" t="inlineStr">
        <is>
          <t>Насос ЦНС 300/360…660 с торцевым уплотнением</t>
        </is>
      </c>
      <c r="D297" s="45" t="n"/>
      <c r="E297" s="18" t="n">
        <v>138589</v>
      </c>
      <c r="F297" s="18">
        <f>E297*D297</f>
        <v/>
      </c>
      <c r="G297" s="63" t="n"/>
      <c r="H297" s="11" t="n"/>
    </row>
    <row r="298" ht="12.75" customHeight="1">
      <c r="A298" s="11" t="n"/>
      <c r="B298" s="94" t="inlineStr">
        <is>
          <t>59</t>
        </is>
      </c>
      <c r="C298" s="66" t="inlineStr">
        <is>
          <t>Насос ЦНС 310-1510</t>
        </is>
      </c>
      <c r="D298" s="45" t="n"/>
      <c r="E298" s="18" t="n">
        <v>138589</v>
      </c>
      <c r="F298" s="18">
        <f>E298*D298</f>
        <v/>
      </c>
      <c r="G298" s="63" t="n"/>
      <c r="H298" s="11" t="n"/>
    </row>
    <row r="299" ht="18.75" customHeight="1">
      <c r="A299" s="11" t="n"/>
      <c r="B299" s="63" t="inlineStr">
        <is>
          <t>60</t>
        </is>
      </c>
      <c r="C299" s="52" t="inlineStr">
        <is>
          <t>Насос ЦНС 320-1350</t>
        </is>
      </c>
      <c r="D299" s="45" t="n"/>
      <c r="E299" s="18" t="n">
        <v>138589</v>
      </c>
      <c r="F299" s="18">
        <f>E299*D299</f>
        <v/>
      </c>
      <c r="G299" s="63" t="n"/>
      <c r="H299" s="11" t="n"/>
    </row>
    <row r="300" ht="15.75" customHeight="1">
      <c r="A300" s="11" t="n"/>
      <c r="B300" s="94" t="inlineStr">
        <is>
          <t>61</t>
        </is>
      </c>
      <c r="C300" s="66" t="inlineStr">
        <is>
          <t>Насос ЦНС 350-1650</t>
        </is>
      </c>
      <c r="D300" s="45" t="n"/>
      <c r="E300" s="18" t="n">
        <v>138589</v>
      </c>
      <c r="F300" s="18">
        <f>E300*D300</f>
        <v/>
      </c>
      <c r="G300" s="63" t="n"/>
      <c r="H300" s="11" t="n"/>
    </row>
    <row r="301" ht="15.75" customHeight="1">
      <c r="A301" s="11" t="n"/>
      <c r="B301" s="63" t="inlineStr">
        <is>
          <t>62</t>
        </is>
      </c>
      <c r="C301" s="50" t="inlineStr">
        <is>
          <t>Насос ЦНС 40/1400</t>
        </is>
      </c>
      <c r="D301" s="45" t="n"/>
      <c r="E301" s="18" t="n">
        <v>138589</v>
      </c>
      <c r="F301" s="18">
        <f>E301*D301</f>
        <v/>
      </c>
      <c r="G301" s="63" t="n"/>
      <c r="H301" s="11" t="n"/>
    </row>
    <row r="302" ht="15.75" customHeight="1">
      <c r="A302" s="11" t="n"/>
      <c r="B302" s="94" t="inlineStr">
        <is>
          <t>63</t>
        </is>
      </c>
      <c r="C302" s="50" t="inlineStr">
        <is>
          <t>Насос ЦНС-13/70…350</t>
        </is>
      </c>
      <c r="D302" s="45" t="n"/>
      <c r="E302" s="18" t="n">
        <v>54147</v>
      </c>
      <c r="F302" s="18">
        <f>E302*D302</f>
        <v/>
      </c>
      <c r="G302" s="63" t="n"/>
      <c r="H302" s="11" t="n"/>
    </row>
    <row r="303" ht="15.75" customHeight="1">
      <c r="A303" s="11" t="n"/>
      <c r="B303" s="63" t="inlineStr">
        <is>
          <t>64</t>
        </is>
      </c>
      <c r="C303" s="50" t="inlineStr">
        <is>
          <t>Насос ЦНС-13/70…350 с торцевым уплотнением</t>
        </is>
      </c>
      <c r="D303" s="45" t="n"/>
      <c r="E303" s="18" t="n">
        <v>54147</v>
      </c>
      <c r="F303" s="18">
        <f>E303*D303</f>
        <v/>
      </c>
      <c r="G303" s="63" t="n"/>
      <c r="H303" s="11" t="n"/>
    </row>
    <row r="304" ht="15.75" customHeight="1">
      <c r="A304" s="11" t="n"/>
      <c r="B304" s="94" t="inlineStr">
        <is>
          <t>65</t>
        </is>
      </c>
      <c r="C304" s="66" t="inlineStr">
        <is>
          <t>Насос ЦНС-38/44…220</t>
        </is>
      </c>
      <c r="D304" s="87" t="n"/>
      <c r="E304" s="87" t="n">
        <v>54147</v>
      </c>
      <c r="F304" s="18">
        <f>E304*D304</f>
        <v/>
      </c>
      <c r="G304" s="63" t="n"/>
      <c r="H304" s="11" t="n"/>
    </row>
    <row r="305" ht="15.75" customHeight="1">
      <c r="A305" s="11" t="n"/>
      <c r="B305" s="63" t="inlineStr">
        <is>
          <t>66</t>
        </is>
      </c>
      <c r="C305" s="66" t="inlineStr">
        <is>
          <t>Насос ЦНС-38/44…220 с торцевым уплотнением</t>
        </is>
      </c>
      <c r="D305" s="45" t="n"/>
      <c r="E305" s="45" t="n">
        <v>54147</v>
      </c>
      <c r="F305" s="18">
        <f>E305*D305</f>
        <v/>
      </c>
      <c r="G305" s="63" t="n"/>
      <c r="H305" s="11" t="n"/>
    </row>
    <row r="306" ht="15.75" customHeight="1">
      <c r="A306" s="11" t="n"/>
      <c r="B306" s="94" t="inlineStr">
        <is>
          <t>67</t>
        </is>
      </c>
      <c r="C306" s="66" t="inlineStr">
        <is>
          <t>Насос ЦНС-60/66…330</t>
        </is>
      </c>
      <c r="D306" s="45" t="n"/>
      <c r="E306" s="45" t="n">
        <v>54147</v>
      </c>
      <c r="F306" s="18">
        <f>E306*D306</f>
        <v/>
      </c>
      <c r="G306" s="63" t="n"/>
      <c r="H306" s="11" t="n"/>
    </row>
    <row r="307" ht="15.75" customHeight="1">
      <c r="A307" s="11" t="n"/>
      <c r="B307" s="63" t="inlineStr">
        <is>
          <t>68</t>
        </is>
      </c>
      <c r="C307" s="100" t="inlineStr">
        <is>
          <t>Насос ЦНС-60/66…330 с торцевым уплотнением</t>
        </is>
      </c>
      <c r="D307" s="45" t="n"/>
      <c r="E307" s="45" t="n">
        <v>54147</v>
      </c>
      <c r="F307" s="18">
        <f>E307*D307</f>
        <v/>
      </c>
      <c r="G307" s="63" t="n"/>
      <c r="H307" s="11" t="n"/>
    </row>
    <row r="308" ht="15.75" customHeight="1">
      <c r="A308" s="11" t="n"/>
      <c r="B308" s="94" t="inlineStr">
        <is>
          <t>69</t>
        </is>
      </c>
      <c r="C308" s="66" t="inlineStr">
        <is>
          <t xml:space="preserve">Насос ЦНС-63/1000...1900 </t>
        </is>
      </c>
      <c r="D308" s="45" t="n"/>
      <c r="E308" s="45" t="n">
        <v>138589</v>
      </c>
      <c r="F308" s="18">
        <f>E308*D308</f>
        <v/>
      </c>
      <c r="G308" s="63" t="n"/>
      <c r="H308" s="11" t="n"/>
    </row>
    <row r="309" ht="15.75" customHeight="1">
      <c r="A309" s="11" t="n"/>
      <c r="B309" s="63" t="inlineStr">
        <is>
          <t>70</t>
        </is>
      </c>
      <c r="C309" s="66" t="inlineStr">
        <is>
          <t xml:space="preserve">Насос ЦНС-90/1100...1900 </t>
        </is>
      </c>
      <c r="D309" s="45" t="n"/>
      <c r="E309" s="18" t="n">
        <v>138589</v>
      </c>
      <c r="F309" s="18">
        <f>E309*D309</f>
        <v/>
      </c>
      <c r="G309" s="63" t="n"/>
      <c r="H309" s="11" t="n"/>
    </row>
    <row r="310" ht="46.5" customHeight="1">
      <c r="A310" s="11" t="n"/>
      <c r="B310" s="94" t="inlineStr">
        <is>
          <t>71</t>
        </is>
      </c>
      <c r="C310" s="66" t="inlineStr">
        <is>
          <t>Насос шестеренный типа НМШ5-25-4,0/4; НМШ5-25-4,0/10; НМШ5-25-4,0/25; НМШ8-25-6,3/2,5; НМШ8-25-6,3/10; НМШ8-25-6,3/25, НШ 5/25</t>
        </is>
      </c>
      <c r="D310" s="45" t="n"/>
      <c r="E310" s="18" t="n">
        <v>10124</v>
      </c>
      <c r="F310" s="18">
        <f>E310*D310</f>
        <v/>
      </c>
      <c r="G310" s="63" t="n"/>
      <c r="H310" s="11" t="n"/>
    </row>
    <row r="311" hidden="1" ht="15.75" customHeight="1">
      <c r="A311" s="11" t="n"/>
      <c r="B311" s="63" t="inlineStr">
        <is>
          <t>72</t>
        </is>
      </c>
      <c r="C311" s="66" t="inlineStr">
        <is>
          <t>Поршневой компрессор К2</t>
        </is>
      </c>
      <c r="D311" s="64" t="n"/>
      <c r="E311" s="26" t="n">
        <v>34874</v>
      </c>
      <c r="F311" s="26">
        <f>E311*D311</f>
        <v/>
      </c>
      <c r="G311" s="63" t="n"/>
      <c r="H311" s="11" t="n"/>
    </row>
    <row r="312" ht="13.5" customHeight="1">
      <c r="A312" s="11" t="n"/>
      <c r="B312" s="85" t="inlineStr">
        <is>
          <t>ИТОГО:</t>
        </is>
      </c>
      <c r="D312" s="63" t="n"/>
      <c r="E312" s="63" t="n"/>
      <c r="F312" s="26">
        <f>SUM(F240:F311)</f>
        <v/>
      </c>
      <c r="G312" s="63" t="n"/>
      <c r="H312" s="11" t="n"/>
    </row>
    <row r="313" ht="18.75" customHeight="1">
      <c r="A313" s="11" t="n"/>
      <c r="B313" s="99" t="inlineStr">
        <is>
          <t>ПУСКО-НАЛАДОЧНЫЕ РАБОТЫ</t>
        </is>
      </c>
      <c r="D313" s="63" t="n"/>
      <c r="E313" s="63" t="n"/>
      <c r="F313" s="94" t="n"/>
      <c r="G313" s="63" t="n"/>
      <c r="H313" s="11" t="n"/>
    </row>
    <row r="314" hidden="1" ht="27" customHeight="1">
      <c r="A314" s="11" t="n"/>
      <c r="B314" s="94" t="inlineStr">
        <is>
          <t>1</t>
        </is>
      </c>
      <c r="C314" s="66" t="inlineStr">
        <is>
          <t>Агрегат турбокомпрессорный ТКА-Ц-12/0,4-6,1М1 без двигателя</t>
        </is>
      </c>
      <c r="D314" s="63" t="n"/>
      <c r="E314" s="63" t="n">
        <v>2077155</v>
      </c>
      <c r="F314" s="26">
        <f>E314*D314</f>
        <v/>
      </c>
      <c r="G314" s="63" t="n"/>
      <c r="H314" s="11" t="n"/>
    </row>
    <row r="315" hidden="1" ht="15.75" customHeight="1">
      <c r="A315" s="11" t="n"/>
      <c r="B315" s="63" t="inlineStr">
        <is>
          <t>2</t>
        </is>
      </c>
      <c r="C315" s="66" t="inlineStr">
        <is>
          <t>БНСП 1400-900</t>
        </is>
      </c>
      <c r="D315" s="64" t="n"/>
      <c r="E315" s="64" t="n">
        <v>123197</v>
      </c>
      <c r="F315" s="26">
        <f>E315*D315</f>
        <v/>
      </c>
      <c r="G315" s="63" t="n"/>
      <c r="H315" s="11" t="n"/>
    </row>
    <row r="316" hidden="1" ht="15.75" customHeight="1">
      <c r="A316" s="11" t="n"/>
      <c r="B316" s="94" t="inlineStr">
        <is>
          <t>3</t>
        </is>
      </c>
      <c r="C316" s="66" t="inlineStr">
        <is>
          <t>ГНС 700</t>
        </is>
      </c>
      <c r="D316" s="64" t="n"/>
      <c r="E316" s="64" t="n">
        <v>123197</v>
      </c>
      <c r="F316" s="26">
        <f>E316*D316</f>
        <v/>
      </c>
      <c r="G316" s="63" t="n"/>
      <c r="H316" s="11" t="n"/>
    </row>
    <row r="317" hidden="1" ht="15.75" customHeight="1">
      <c r="A317" s="11" t="n"/>
      <c r="B317" s="63" t="inlineStr">
        <is>
          <t>4</t>
        </is>
      </c>
      <c r="C317" s="100" t="inlineStr">
        <is>
          <t>ГНС S 100 N</t>
        </is>
      </c>
      <c r="D317" s="64" t="n"/>
      <c r="E317" s="64" t="n">
        <v>123197</v>
      </c>
      <c r="F317" s="26">
        <f>E317*D317</f>
        <v/>
      </c>
      <c r="G317" s="63" t="n"/>
      <c r="H317" s="11" t="n"/>
    </row>
    <row r="318" hidden="1" ht="15.75" customHeight="1">
      <c r="A318" s="11" t="n"/>
      <c r="B318" s="94" t="inlineStr">
        <is>
          <t>5</t>
        </is>
      </c>
      <c r="C318" s="66" t="inlineStr">
        <is>
          <t>ГНС S 175 N</t>
        </is>
      </c>
      <c r="D318" s="64" t="n"/>
      <c r="E318" s="64" t="n">
        <v>123197</v>
      </c>
      <c r="F318" s="26">
        <f>E318*D318</f>
        <v/>
      </c>
      <c r="G318" s="63" t="n"/>
      <c r="H318" s="11" t="n"/>
    </row>
    <row r="319" hidden="1" ht="15.75" customHeight="1">
      <c r="A319" s="11" t="n"/>
      <c r="B319" s="63" t="inlineStr">
        <is>
          <t>6</t>
        </is>
      </c>
      <c r="C319" s="66" t="inlineStr">
        <is>
          <t>ГНУ 3000/1900</t>
        </is>
      </c>
      <c r="D319" s="64" t="n"/>
      <c r="E319" s="26" t="n">
        <v>123197</v>
      </c>
      <c r="F319" s="26">
        <f>E319*D319</f>
        <v/>
      </c>
      <c r="G319" s="63" t="n"/>
      <c r="H319" s="11" t="n"/>
    </row>
    <row r="320" hidden="1" ht="15.75" customHeight="1">
      <c r="A320" s="11" t="n"/>
      <c r="B320" s="94" t="inlineStr">
        <is>
          <t>7</t>
        </is>
      </c>
      <c r="C320" s="66" t="inlineStr">
        <is>
          <t>Насос плунжерный КАМАТ тип К</t>
        </is>
      </c>
      <c r="D320" s="64" t="n"/>
      <c r="E320" s="26" t="n">
        <v>123197</v>
      </c>
      <c r="F320" s="26">
        <f>E320*D320</f>
        <v/>
      </c>
      <c r="G320" s="63" t="n"/>
      <c r="H320" s="11" t="n"/>
    </row>
    <row r="321" hidden="1" ht="15.75" customHeight="1">
      <c r="A321" s="11" t="n"/>
      <c r="B321" s="63" t="inlineStr">
        <is>
          <t>8</t>
        </is>
      </c>
      <c r="C321" s="66" t="inlineStr">
        <is>
          <t>Компрессор 2НВ2КТ/126/330</t>
        </is>
      </c>
      <c r="D321" s="64" t="n"/>
      <c r="E321" s="26" t="n">
        <v>33434</v>
      </c>
      <c r="F321" s="26">
        <f>E321*D321</f>
        <v/>
      </c>
      <c r="G321" s="63" t="n"/>
      <c r="H321" s="11" t="n"/>
    </row>
    <row r="322" hidden="1" ht="15.75" customHeight="1">
      <c r="A322" s="11" t="n"/>
      <c r="B322" s="94" t="inlineStr">
        <is>
          <t>9</t>
        </is>
      </c>
      <c r="C322" s="66" t="inlineStr">
        <is>
          <t>Компрессор 4ВУ1-5/9</t>
        </is>
      </c>
      <c r="D322" s="64" t="n"/>
      <c r="E322" s="26" t="n">
        <v>30858</v>
      </c>
      <c r="F322" s="26">
        <f>E322*D322</f>
        <v/>
      </c>
      <c r="G322" s="63" t="n"/>
      <c r="H322" s="11" t="n"/>
    </row>
    <row r="323" hidden="1" ht="15.75" customHeight="1">
      <c r="A323" s="11" t="n"/>
      <c r="B323" s="63" t="inlineStr">
        <is>
          <t>10</t>
        </is>
      </c>
      <c r="C323" s="66" t="inlineStr">
        <is>
          <t>Компрессор A2YI-52-16-8, К-10А2У1-52-16</t>
        </is>
      </c>
      <c r="D323" s="64" t="n"/>
      <c r="E323" s="26" t="n">
        <v>29284</v>
      </c>
      <c r="F323" s="26">
        <f>E323*D323</f>
        <v/>
      </c>
      <c r="G323" s="63" t="n"/>
      <c r="H323" s="11" t="n"/>
    </row>
    <row r="324" hidden="1" ht="15.75" customHeight="1">
      <c r="A324" s="11" t="n"/>
      <c r="B324" s="94" t="inlineStr">
        <is>
          <t>11</t>
        </is>
      </c>
      <c r="C324" s="66" t="inlineStr">
        <is>
          <t>Компрессор воздушный Atlas Copco ZT90VSD</t>
        </is>
      </c>
      <c r="D324" s="64" t="n"/>
      <c r="E324" s="26" t="n">
        <v>93114</v>
      </c>
      <c r="F324" s="26">
        <f>E324*D324</f>
        <v/>
      </c>
      <c r="G324" s="63" t="n"/>
      <c r="H324" s="11" t="n"/>
    </row>
    <row r="325" hidden="1" ht="15.75" customHeight="1">
      <c r="A325" s="11" t="n"/>
      <c r="B325" s="63" t="inlineStr">
        <is>
          <t>12</t>
        </is>
      </c>
      <c r="C325" s="66" t="inlineStr">
        <is>
          <t>Компрессор ТАКАТ 11.05;  Борец 1С2ГП;  EGSI-S-150/200 WA</t>
        </is>
      </c>
      <c r="D325" s="64" t="n"/>
      <c r="E325" s="26" t="n">
        <v>56942</v>
      </c>
      <c r="F325" s="26">
        <f>E325*D325</f>
        <v/>
      </c>
      <c r="G325" s="63" t="n"/>
      <c r="H325" s="11" t="n"/>
    </row>
    <row r="326" ht="15.75" customHeight="1">
      <c r="A326" s="11" t="n"/>
      <c r="B326" s="94" t="inlineStr">
        <is>
          <t>13</t>
        </is>
      </c>
      <c r="C326" s="66" t="inlineStr">
        <is>
          <t>Насос Д160-112Б</t>
        </is>
      </c>
      <c r="D326" s="64" t="n"/>
      <c r="E326" s="26" t="n">
        <v>25274</v>
      </c>
      <c r="F326" s="26">
        <f>E326*D326</f>
        <v/>
      </c>
      <c r="G326" s="63" t="n"/>
      <c r="H326" s="11" t="n"/>
    </row>
    <row r="327" ht="15.75" customHeight="1">
      <c r="A327" s="11" t="n"/>
      <c r="B327" s="63" t="inlineStr">
        <is>
          <t>14</t>
        </is>
      </c>
      <c r="C327" s="66" t="inlineStr">
        <is>
          <t>Насос 1 Д200-90</t>
        </is>
      </c>
      <c r="D327" s="64" t="n"/>
      <c r="E327" s="26" t="n">
        <v>25274</v>
      </c>
      <c r="F327" s="26">
        <f>E327*D327</f>
        <v/>
      </c>
      <c r="G327" s="63" t="n"/>
      <c r="H327" s="11" t="n"/>
    </row>
    <row r="328" ht="15.75" customHeight="1">
      <c r="A328" s="11" t="n"/>
      <c r="B328" s="94" t="inlineStr">
        <is>
          <t>15</t>
        </is>
      </c>
      <c r="C328" s="66" t="inlineStr">
        <is>
          <t>Насос 1 Д250-125</t>
        </is>
      </c>
      <c r="D328" s="64" t="n"/>
      <c r="E328" s="26" t="n">
        <v>25274</v>
      </c>
      <c r="F328" s="26">
        <f>E328*D328</f>
        <v/>
      </c>
      <c r="G328" s="63" t="n"/>
      <c r="H328" s="11" t="n"/>
    </row>
    <row r="329" ht="15.75" customHeight="1">
      <c r="A329" s="11" t="n"/>
      <c r="B329" s="63" t="inlineStr">
        <is>
          <t>16</t>
        </is>
      </c>
      <c r="C329" s="66" t="inlineStr">
        <is>
          <t>Насос 1 Д315-50...71</t>
        </is>
      </c>
      <c r="D329" s="64" t="n"/>
      <c r="E329" s="26" t="n">
        <v>25274</v>
      </c>
      <c r="F329" s="26">
        <f>E329*D329</f>
        <v/>
      </c>
      <c r="G329" s="63" t="n"/>
      <c r="H329" s="11" t="n"/>
    </row>
    <row r="330" ht="15.75" customHeight="1">
      <c r="A330" s="11" t="n"/>
      <c r="B330" s="94" t="inlineStr">
        <is>
          <t>17</t>
        </is>
      </c>
      <c r="C330" s="66" t="inlineStr">
        <is>
          <t>Насос 1 Д500-63</t>
        </is>
      </c>
      <c r="D330" s="64" t="n"/>
      <c r="E330" s="26" t="n">
        <v>25274</v>
      </c>
      <c r="F330" s="26">
        <f>E330*D330</f>
        <v/>
      </c>
      <c r="G330" s="63" t="n"/>
      <c r="H330" s="11" t="n"/>
    </row>
    <row r="331" ht="15.75" customHeight="1">
      <c r="A331" s="11" t="n"/>
      <c r="B331" s="63" t="inlineStr">
        <is>
          <t>18</t>
        </is>
      </c>
      <c r="C331" s="52" t="inlineStr">
        <is>
          <t>Насос 1 Д630-90...125</t>
        </is>
      </c>
      <c r="D331" s="45" t="n"/>
      <c r="E331" s="18" t="n">
        <v>28785</v>
      </c>
      <c r="F331" s="18">
        <f>E331*D331</f>
        <v/>
      </c>
      <c r="G331" s="63" t="n"/>
      <c r="H331" s="11" t="n"/>
    </row>
    <row r="332" ht="12.75" customHeight="1">
      <c r="A332" s="11" t="n"/>
      <c r="B332" s="94" t="inlineStr">
        <is>
          <t>19</t>
        </is>
      </c>
      <c r="C332" s="52" t="inlineStr">
        <is>
          <t>Насос 1 Д1250-63…125</t>
        </is>
      </c>
      <c r="D332" s="45" t="n"/>
      <c r="E332" s="18" t="n">
        <v>28785</v>
      </c>
      <c r="F332" s="18">
        <f>E332*D332</f>
        <v/>
      </c>
      <c r="G332" s="63" t="n"/>
      <c r="H332" s="11" t="n"/>
    </row>
    <row r="333" ht="15.75" customHeight="1">
      <c r="A333" s="11" t="n"/>
      <c r="B333" s="63" t="inlineStr">
        <is>
          <t>20</t>
        </is>
      </c>
      <c r="C333" s="52" t="inlineStr">
        <is>
          <t>Насос 12НА-9х4</t>
        </is>
      </c>
      <c r="D333" s="45" t="n"/>
      <c r="E333" s="18" t="n">
        <v>30268</v>
      </c>
      <c r="F333" s="18">
        <f>E333*D333</f>
        <v/>
      </c>
      <c r="G333" s="63" t="n"/>
      <c r="H333" s="11" t="n"/>
    </row>
    <row r="334" hidden="1" ht="15.75" customHeight="1">
      <c r="A334" s="11" t="n"/>
      <c r="B334" s="94" t="inlineStr">
        <is>
          <t>21</t>
        </is>
      </c>
      <c r="C334" s="52" t="inlineStr">
        <is>
          <t>Насос 1АСВН-80АМ(С)/6</t>
        </is>
      </c>
      <c r="D334" s="45" t="n"/>
      <c r="E334" s="18" t="n">
        <v>30268</v>
      </c>
      <c r="F334" s="18">
        <f>E334*D334</f>
        <v/>
      </c>
      <c r="G334" s="63" t="n"/>
      <c r="H334" s="11" t="n"/>
    </row>
    <row r="335" ht="15.75" customHeight="1">
      <c r="A335" s="11" t="n"/>
      <c r="B335" s="63" t="inlineStr">
        <is>
          <t>22</t>
        </is>
      </c>
      <c r="C335" s="52" t="inlineStr">
        <is>
          <t>Насос 20А-18-1-11</t>
        </is>
      </c>
      <c r="D335" s="45" t="n"/>
      <c r="E335" s="18" t="n">
        <v>36111</v>
      </c>
      <c r="F335" s="18">
        <f>E335*D335</f>
        <v/>
      </c>
      <c r="G335" s="63" t="n"/>
      <c r="H335" s="11" t="n"/>
    </row>
    <row r="336" ht="15.75" customHeight="1">
      <c r="A336" s="11" t="n"/>
      <c r="B336" s="94" t="inlineStr">
        <is>
          <t>23</t>
        </is>
      </c>
      <c r="C336" s="52" t="inlineStr">
        <is>
          <t>Насос BUL 6,3/64</t>
        </is>
      </c>
      <c r="D336" s="45" t="n"/>
      <c r="E336" s="18" t="n">
        <v>13771</v>
      </c>
      <c r="F336" s="18">
        <f>E336*D336</f>
        <v/>
      </c>
      <c r="G336" s="63" t="n"/>
      <c r="H336" s="11" t="n"/>
    </row>
    <row r="337" hidden="1" ht="15.75" customHeight="1">
      <c r="A337" s="11" t="n"/>
      <c r="B337" s="63" t="inlineStr">
        <is>
          <t>24</t>
        </is>
      </c>
      <c r="C337" s="52" t="inlineStr">
        <is>
          <t>Насос CR15-02</t>
        </is>
      </c>
      <c r="D337" s="45" t="n"/>
      <c r="E337" s="18" t="n">
        <v>12915</v>
      </c>
      <c r="F337" s="18">
        <f>E337*D337</f>
        <v/>
      </c>
      <c r="G337" s="63" t="n"/>
      <c r="H337" s="11" t="n"/>
    </row>
    <row r="338" hidden="1" ht="15.75" customHeight="1">
      <c r="A338" s="11" t="n"/>
      <c r="B338" s="94" t="inlineStr">
        <is>
          <t>25</t>
        </is>
      </c>
      <c r="C338" s="52" t="inlineStr">
        <is>
          <t>Насос CRE20-01</t>
        </is>
      </c>
      <c r="D338" s="45" t="n"/>
      <c r="E338" s="18" t="n">
        <v>12915</v>
      </c>
      <c r="F338" s="18">
        <f>E338*D338</f>
        <v/>
      </c>
      <c r="G338" s="63" t="n"/>
      <c r="H338" s="11" t="n"/>
    </row>
    <row r="339" hidden="1" ht="15.75" customHeight="1">
      <c r="A339" s="11" t="n"/>
      <c r="B339" s="63" t="inlineStr">
        <is>
          <t>26</t>
        </is>
      </c>
      <c r="C339" s="52" t="inlineStr">
        <is>
          <t>Насос KRGH 40/315; KRGH 80/315, KRGH 200/500</t>
        </is>
      </c>
      <c r="D339" s="45" t="n"/>
      <c r="E339" s="18" t="n">
        <v>37705</v>
      </c>
      <c r="F339" s="18">
        <f>E339*D339</f>
        <v/>
      </c>
      <c r="G339" s="63" t="n"/>
      <c r="H339" s="11" t="n"/>
    </row>
    <row r="340" hidden="1" ht="15.75" customHeight="1">
      <c r="A340" s="11" t="n"/>
      <c r="B340" s="94" t="inlineStr">
        <is>
          <t>27</t>
        </is>
      </c>
      <c r="C340" s="52" t="inlineStr">
        <is>
          <t xml:space="preserve">Насос NF50BP </t>
        </is>
      </c>
      <c r="D340" s="45" t="n"/>
      <c r="E340" s="18" t="n">
        <v>37705</v>
      </c>
      <c r="F340" s="18">
        <f>E340*D340</f>
        <v/>
      </c>
      <c r="G340" s="63" t="n"/>
      <c r="H340" s="11" t="n"/>
    </row>
    <row r="341" hidden="1" ht="15.75" customHeight="1">
      <c r="A341" s="11" t="n"/>
      <c r="B341" s="63" t="inlineStr">
        <is>
          <t>28</t>
        </is>
      </c>
      <c r="C341" s="52" t="inlineStr">
        <is>
          <t>Насос NM038BT02S12B</t>
        </is>
      </c>
      <c r="D341" s="45" t="n"/>
      <c r="E341" s="18" t="n">
        <v>37705</v>
      </c>
      <c r="F341" s="18">
        <f>E341*D341</f>
        <v/>
      </c>
      <c r="G341" s="63" t="n"/>
      <c r="H341" s="11" t="n"/>
    </row>
    <row r="342" hidden="1" ht="15.75" customHeight="1">
      <c r="A342" s="11" t="n"/>
      <c r="B342" s="94" t="inlineStr">
        <is>
          <t>29</t>
        </is>
      </c>
      <c r="C342" s="52" t="inlineStr">
        <is>
          <t>Насос PIAX 32/28</t>
        </is>
      </c>
      <c r="D342" s="45" t="n"/>
      <c r="E342" s="18" t="n">
        <v>13771</v>
      </c>
      <c r="F342" s="18">
        <f>E342*D342</f>
        <v/>
      </c>
      <c r="G342" s="63" t="n"/>
      <c r="H342" s="11" t="n"/>
    </row>
    <row r="343" hidden="1" ht="15.75" customHeight="1">
      <c r="A343" s="11" t="n"/>
      <c r="B343" s="63" t="inlineStr">
        <is>
          <t>30</t>
        </is>
      </c>
      <c r="C343" s="77" t="inlineStr">
        <is>
          <t>Насос PKG100L50H17 2/9C5VV3Z</t>
        </is>
      </c>
      <c r="D343" s="45" t="n"/>
      <c r="E343" s="18" t="n">
        <v>37712</v>
      </c>
      <c r="F343" s="18">
        <f>E343*D343</f>
        <v/>
      </c>
      <c r="G343" s="63" t="n"/>
      <c r="H343" s="11" t="n"/>
    </row>
    <row r="344" hidden="1" ht="15.75" customHeight="1">
      <c r="A344" s="11" t="n"/>
      <c r="B344" s="94" t="inlineStr">
        <is>
          <t>31</t>
        </is>
      </c>
      <c r="C344" s="77" t="inlineStr">
        <is>
          <t>Насос SEG 40.12.2/1.502</t>
        </is>
      </c>
      <c r="D344" s="45" t="n"/>
      <c r="E344" s="18" t="n">
        <v>37712</v>
      </c>
      <c r="F344" s="18">
        <f>E344*D344</f>
        <v/>
      </c>
      <c r="G344" s="63" t="n"/>
      <c r="H344" s="11" t="n"/>
    </row>
    <row r="345" ht="15.75" customHeight="1">
      <c r="A345" s="11" t="n"/>
      <c r="B345" s="63" t="inlineStr">
        <is>
          <t>32</t>
        </is>
      </c>
      <c r="C345" s="77" t="inlineStr">
        <is>
          <t>Насос АХП 45/31, АХП 50-32-200…80-65-160</t>
        </is>
      </c>
      <c r="D345" s="45" t="n"/>
      <c r="E345" s="18" t="n">
        <v>37712</v>
      </c>
      <c r="F345" s="18">
        <f>E345*D345</f>
        <v/>
      </c>
      <c r="G345" s="63" t="n"/>
      <c r="H345" s="11" t="n"/>
    </row>
    <row r="346" ht="15.75" customHeight="1">
      <c r="A346" s="11" t="n"/>
      <c r="B346" s="94" t="inlineStr">
        <is>
          <t>33</t>
        </is>
      </c>
      <c r="C346" s="52" t="inlineStr">
        <is>
          <t>Насос ВКС 2/26</t>
        </is>
      </c>
      <c r="D346" s="87" t="n"/>
      <c r="E346" s="87" t="n">
        <v>10331</v>
      </c>
      <c r="F346" s="18">
        <f>E346*D346</f>
        <v/>
      </c>
      <c r="G346" s="63" t="n"/>
      <c r="H346" s="11" t="n"/>
    </row>
    <row r="347" ht="25.5" customHeight="1">
      <c r="A347" s="11" t="n"/>
      <c r="B347" s="63" t="inlineStr">
        <is>
          <t>34</t>
        </is>
      </c>
      <c r="C347" s="52" t="inlineStr">
        <is>
          <t>Насос ВНД 80/43; ВНД 50/350, ВНД 50/100, ВНД 6,3/12,5</t>
        </is>
      </c>
      <c r="D347" s="45" t="n"/>
      <c r="E347" s="45" t="n">
        <v>10307</v>
      </c>
      <c r="F347" s="18">
        <f>E347*D347</f>
        <v/>
      </c>
      <c r="G347" s="63" t="n"/>
      <c r="H347" s="11" t="n"/>
    </row>
    <row r="348" ht="26.25" customHeight="1">
      <c r="A348" s="11" t="n"/>
      <c r="B348" s="94" t="inlineStr">
        <is>
          <t>35</t>
        </is>
      </c>
      <c r="C348" s="52" t="inlineStr">
        <is>
          <t>Насос горизонтальный консольный типа К80-65-160…100-65-250</t>
        </is>
      </c>
      <c r="D348" s="45" t="n"/>
      <c r="E348" s="45" t="n">
        <v>7791</v>
      </c>
      <c r="F348" s="18">
        <f>E348*D348</f>
        <v/>
      </c>
      <c r="G348" s="63" t="n"/>
      <c r="H348" s="11" t="n"/>
    </row>
    <row r="349" hidden="1" ht="15.75" customHeight="1">
      <c r="A349" s="11" t="n"/>
      <c r="B349" s="63" t="inlineStr">
        <is>
          <t>36</t>
        </is>
      </c>
      <c r="C349" s="46" t="inlineStr">
        <is>
          <t>Насос ГХИ 6,3/32</t>
        </is>
      </c>
      <c r="D349" s="45" t="n"/>
      <c r="E349" s="45" t="n">
        <v>10307</v>
      </c>
      <c r="F349" s="18">
        <f>E349*D349</f>
        <v/>
      </c>
      <c r="G349" s="63" t="n"/>
      <c r="H349" s="11" t="n"/>
    </row>
    <row r="350" ht="15.75" customHeight="1">
      <c r="A350" s="11" t="n"/>
      <c r="B350" s="94" t="inlineStr">
        <is>
          <t>37</t>
        </is>
      </c>
      <c r="C350" s="52" t="inlineStr">
        <is>
          <t>Насос дозировочный типа ДП</t>
        </is>
      </c>
      <c r="D350" s="45" t="n"/>
      <c r="E350" s="45" t="n">
        <v>23117</v>
      </c>
      <c r="F350" s="18">
        <f>E350*D350</f>
        <v/>
      </c>
      <c r="G350" s="63" t="n"/>
      <c r="H350" s="11" t="n"/>
    </row>
    <row r="351" ht="15.75" customHeight="1">
      <c r="A351" s="11" t="n"/>
      <c r="B351" s="63" t="inlineStr">
        <is>
          <t>38</t>
        </is>
      </c>
      <c r="C351" s="52" t="inlineStr">
        <is>
          <t>Насос дозировочный типа НД 0,1…40/10...160</t>
        </is>
      </c>
      <c r="D351" s="45" t="n"/>
      <c r="E351" s="18" t="n">
        <v>23117</v>
      </c>
      <c r="F351" s="18">
        <f>E351*D351</f>
        <v/>
      </c>
      <c r="G351" s="63" t="n"/>
      <c r="H351" s="11" t="n"/>
    </row>
    <row r="352" hidden="1" ht="15.75" customHeight="1">
      <c r="A352" s="11" t="n"/>
      <c r="B352" s="94" t="inlineStr">
        <is>
          <t>39</t>
        </is>
      </c>
      <c r="C352" s="52" t="inlineStr">
        <is>
          <t>Насос дозировочный типа НДМ,НДХ (мембранные)</t>
        </is>
      </c>
      <c r="D352" s="45" t="n"/>
      <c r="E352" s="18" t="n">
        <v>26676</v>
      </c>
      <c r="F352" s="18">
        <f>E352*D352</f>
        <v/>
      </c>
      <c r="G352" s="63" t="n"/>
      <c r="H352" s="11" t="n"/>
    </row>
    <row r="353" hidden="1" ht="15.75" customHeight="1">
      <c r="A353" s="11" t="n"/>
      <c r="B353" s="63" t="inlineStr">
        <is>
          <t>40</t>
        </is>
      </c>
      <c r="C353" s="52" t="inlineStr">
        <is>
          <t>Насос дозировочный типа УН1Д-Р</t>
        </is>
      </c>
      <c r="D353" s="45" t="n"/>
      <c r="E353" s="18" t="n">
        <v>26676</v>
      </c>
      <c r="F353" s="18">
        <f>E353*D353</f>
        <v/>
      </c>
      <c r="G353" s="63" t="n"/>
      <c r="H353" s="11" t="n"/>
    </row>
    <row r="354" ht="32.25" customHeight="1">
      <c r="A354" s="11" t="n"/>
      <c r="B354" s="94" t="inlineStr">
        <is>
          <t>41</t>
        </is>
      </c>
      <c r="C354" s="52" t="inlineStr">
        <is>
          <t>Насос НВ-Мв-50/80; Насос НВ-Мв-Е-50/80; Насос НВ-Мт-50/80; Насос НВ-Мт-Е-50/80; НВД 50/80</t>
        </is>
      </c>
      <c r="D354" s="45" t="n"/>
      <c r="E354" s="18" t="n">
        <v>10307</v>
      </c>
      <c r="F354" s="18">
        <f>E354*D354</f>
        <v/>
      </c>
      <c r="G354" s="63" t="n"/>
      <c r="H354" s="11" t="n"/>
    </row>
    <row r="355" ht="41.25" customHeight="1">
      <c r="A355" s="11" t="n"/>
      <c r="B355" s="63" t="inlineStr">
        <is>
          <t>42</t>
        </is>
      </c>
      <c r="C355" s="52" t="inlineStr">
        <is>
          <t>Насос НВ-Мн-50/50; Насос НВ-Мн-Е-50/50; Насос НВ-Мт-50/50; Насос НВ-Мт-Е-50/50; НВД 50/50; Насос НВ-50/50; Насос НВ-Е-50/50</t>
        </is>
      </c>
      <c r="D355" s="45" t="n"/>
      <c r="E355" s="18" t="n">
        <v>10307</v>
      </c>
      <c r="F355" s="18">
        <f>E355*D355</f>
        <v/>
      </c>
      <c r="G355" s="63" t="n"/>
      <c r="H355" s="11" t="n"/>
    </row>
    <row r="356" ht="15.75" customHeight="1">
      <c r="A356" s="11" t="n"/>
      <c r="B356" s="94" t="inlineStr">
        <is>
          <t>43</t>
        </is>
      </c>
      <c r="C356" s="52" t="inlineStr">
        <is>
          <t xml:space="preserve">Насос НПВ 1250/60 </t>
        </is>
      </c>
      <c r="D356" s="45" t="n"/>
      <c r="E356" s="18" t="n">
        <v>58526</v>
      </c>
      <c r="F356" s="18">
        <f>E356*D356</f>
        <v/>
      </c>
      <c r="G356" s="63" t="n"/>
      <c r="H356" s="11" t="n"/>
    </row>
    <row r="357" hidden="1" ht="22.5" customHeight="1">
      <c r="A357" s="11" t="n"/>
      <c r="B357" s="63" t="inlineStr">
        <is>
          <t>44</t>
        </is>
      </c>
      <c r="C357" s="52" t="inlineStr">
        <is>
          <t>Насос НЦСГ-Е-5-100-П2,5; НЦСГ-Е-12,5-150 -П2,5; НЦСГ-Е-2-40-П</t>
        </is>
      </c>
      <c r="D357" s="45" t="n"/>
      <c r="E357" s="18" t="n">
        <v>90145</v>
      </c>
      <c r="F357" s="18">
        <f>E357*D357</f>
        <v/>
      </c>
      <c r="G357" s="63" t="n"/>
      <c r="H357" s="11" t="n"/>
    </row>
    <row r="358" hidden="1" ht="15.75" customHeight="1">
      <c r="A358" s="11" t="n"/>
      <c r="B358" s="94" t="inlineStr">
        <is>
          <t>45</t>
        </is>
      </c>
      <c r="C358" s="52" t="inlineStr">
        <is>
          <t>Насос СR 32-3-2</t>
        </is>
      </c>
      <c r="D358" s="45" t="n"/>
      <c r="E358" s="18" t="n">
        <v>12915</v>
      </c>
      <c r="F358" s="18">
        <f>E358*D358</f>
        <v/>
      </c>
      <c r="G358" s="63" t="n"/>
      <c r="H358" s="11" t="n"/>
    </row>
    <row r="359" hidden="1" ht="25.5" customHeight="1">
      <c r="A359" s="11" t="n"/>
      <c r="B359" s="63" t="inlineStr">
        <is>
          <t>46</t>
        </is>
      </c>
      <c r="C359" s="52" t="inlineStr">
        <is>
          <t>Насос типа ЦГ6,3/32-2,2-2; ЦГ 6,3/32-2,2-5; ЦГ 6,3/20-1,1-2; ЦГ 6,3/32-1,1-5</t>
        </is>
      </c>
      <c r="D359" s="45" t="n"/>
      <c r="E359" s="18" t="n">
        <v>11362</v>
      </c>
      <c r="F359" s="18">
        <f>E359*D359</f>
        <v/>
      </c>
      <c r="G359" s="63" t="n"/>
      <c r="H359" s="11" t="n"/>
    </row>
    <row r="360" hidden="1" ht="15.75" customHeight="1">
      <c r="A360" s="11" t="n"/>
      <c r="B360" s="94" t="inlineStr">
        <is>
          <t>47</t>
        </is>
      </c>
      <c r="C360" s="52" t="inlineStr">
        <is>
          <t>Насос ТР 100-820/2</t>
        </is>
      </c>
      <c r="D360" s="45" t="n"/>
      <c r="E360" s="18" t="n">
        <v>7791</v>
      </c>
      <c r="F360" s="18">
        <f>E360*D360</f>
        <v/>
      </c>
      <c r="G360" s="63" t="n"/>
      <c r="H360" s="11" t="n"/>
    </row>
    <row r="361" hidden="1" ht="15.75" customHeight="1">
      <c r="A361" s="11" t="n"/>
      <c r="B361" s="63" t="inlineStr">
        <is>
          <t>48</t>
        </is>
      </c>
      <c r="C361" s="52" t="inlineStr">
        <is>
          <t>Насос ХПЕ 80-50-200</t>
        </is>
      </c>
      <c r="D361" s="45" t="n"/>
      <c r="E361" s="18" t="n">
        <v>7791</v>
      </c>
      <c r="F361" s="18">
        <f>E361*D361</f>
        <v/>
      </c>
      <c r="G361" s="63" t="n"/>
      <c r="H361" s="11" t="n"/>
    </row>
    <row r="362" ht="15.75" customHeight="1">
      <c r="A362" s="11" t="n"/>
      <c r="B362" s="94" t="inlineStr">
        <is>
          <t>49</t>
        </is>
      </c>
      <c r="C362" s="52" t="inlineStr">
        <is>
          <t>Насос ЦНС 105/98…490</t>
        </is>
      </c>
      <c r="D362" s="45" t="n"/>
      <c r="E362" s="18" t="n">
        <v>37826</v>
      </c>
      <c r="F362" s="18">
        <f>E362*D362</f>
        <v/>
      </c>
      <c r="G362" s="63" t="n"/>
      <c r="H362" s="11" t="n"/>
    </row>
    <row r="363" ht="15.75" customHeight="1">
      <c r="A363" s="11" t="n"/>
      <c r="B363" s="63" t="inlineStr">
        <is>
          <t>50</t>
        </is>
      </c>
      <c r="C363" s="52" t="inlineStr">
        <is>
          <t>Насос ЦНС 105/98…490 с торцевым уплотнением</t>
        </is>
      </c>
      <c r="D363" s="45" t="n"/>
      <c r="E363" s="18" t="n">
        <v>37826</v>
      </c>
      <c r="F363" s="18">
        <f>E363*D363</f>
        <v/>
      </c>
      <c r="G363" s="63" t="n"/>
      <c r="H363" s="11" t="n"/>
    </row>
    <row r="364" ht="15.75" customHeight="1">
      <c r="A364" s="11" t="n"/>
      <c r="B364" s="94" t="inlineStr">
        <is>
          <t>51</t>
        </is>
      </c>
      <c r="C364" s="52" t="inlineStr">
        <is>
          <t>Насос ЦНС 100...180/870…2050</t>
        </is>
      </c>
      <c r="D364" s="45" t="n"/>
      <c r="E364" s="18" t="n">
        <v>69539</v>
      </c>
      <c r="F364" s="18">
        <f>E364*D364</f>
        <v/>
      </c>
      <c r="G364" s="63" t="n"/>
      <c r="H364" s="11" t="n"/>
    </row>
    <row r="365" ht="15.75" customHeight="1">
      <c r="A365" s="11" t="n"/>
      <c r="B365" s="63" t="inlineStr">
        <is>
          <t>52</t>
        </is>
      </c>
      <c r="C365" s="52" t="inlineStr">
        <is>
          <t>Насос ЦНС 180/85…425</t>
        </is>
      </c>
      <c r="D365" s="45" t="n"/>
      <c r="E365" s="18" t="n">
        <v>46789</v>
      </c>
      <c r="F365" s="18">
        <f>E365*D365</f>
        <v/>
      </c>
      <c r="G365" s="63" t="n"/>
      <c r="H365" s="11" t="n"/>
    </row>
    <row r="366" ht="15.75" customHeight="1">
      <c r="A366" s="11" t="n"/>
      <c r="B366" s="94" t="inlineStr">
        <is>
          <t>53</t>
        </is>
      </c>
      <c r="C366" s="52" t="inlineStr">
        <is>
          <t>Насос ЦНС 180/85…425 с торцевым уплотнением</t>
        </is>
      </c>
      <c r="D366" s="45" t="n"/>
      <c r="E366" s="18" t="n">
        <v>46789</v>
      </c>
      <c r="F366" s="18">
        <f>E366*D366</f>
        <v/>
      </c>
      <c r="G366" s="63" t="n"/>
      <c r="H366" s="11" t="n"/>
    </row>
    <row r="367" ht="15.75" customHeight="1">
      <c r="A367" s="11" t="n"/>
      <c r="B367" s="63" t="inlineStr">
        <is>
          <t>54</t>
        </is>
      </c>
      <c r="C367" s="52" t="inlineStr">
        <is>
          <t xml:space="preserve">Насос ЦНС 225...280/870...1900 </t>
        </is>
      </c>
      <c r="D367" s="45" t="n"/>
      <c r="E367" s="18" t="n">
        <v>69539</v>
      </c>
      <c r="F367" s="18">
        <f>E367*D367</f>
        <v/>
      </c>
      <c r="G367" s="63" t="n"/>
      <c r="H367" s="11" t="n"/>
    </row>
    <row r="368" ht="12.75" customHeight="1">
      <c r="A368" s="11" t="n"/>
      <c r="B368" s="94" t="inlineStr">
        <is>
          <t>55</t>
        </is>
      </c>
      <c r="C368" s="52" t="inlineStr">
        <is>
          <t>Насос ЦНС 300/120…300</t>
        </is>
      </c>
      <c r="D368" s="45" t="n"/>
      <c r="E368" s="18" t="n">
        <v>56207</v>
      </c>
      <c r="F368" s="18">
        <f>E368*D368</f>
        <v/>
      </c>
      <c r="G368" s="63" t="n"/>
      <c r="H368" s="11" t="n"/>
    </row>
    <row r="369" ht="25.5" customHeight="1">
      <c r="A369" s="11" t="n"/>
      <c r="B369" s="63" t="inlineStr">
        <is>
          <t>56</t>
        </is>
      </c>
      <c r="C369" s="52" t="inlineStr">
        <is>
          <t>Насос ЦНС 300/120…300 с торцевым уплотнением</t>
        </is>
      </c>
      <c r="D369" s="45" t="n"/>
      <c r="E369" s="18" t="n">
        <v>56207</v>
      </c>
      <c r="F369" s="18">
        <f>E369*D369</f>
        <v/>
      </c>
      <c r="G369" s="63" t="n"/>
      <c r="H369" s="11" t="n"/>
    </row>
    <row r="370" ht="12.75" customHeight="1">
      <c r="A370" s="11" t="n"/>
      <c r="B370" s="94" t="inlineStr">
        <is>
          <t>57</t>
        </is>
      </c>
      <c r="C370" s="52" t="inlineStr">
        <is>
          <t>Насос ЦНС 300/360…660</t>
        </is>
      </c>
      <c r="D370" s="45" t="n"/>
      <c r="E370" s="18" t="n">
        <v>56207</v>
      </c>
      <c r="F370" s="18">
        <f>E370*D370</f>
        <v/>
      </c>
      <c r="G370" s="63" t="n"/>
      <c r="H370" s="11" t="n"/>
    </row>
    <row r="371" ht="25.5" customHeight="1">
      <c r="A371" s="11" t="n"/>
      <c r="B371" s="63" t="inlineStr">
        <is>
          <t>58</t>
        </is>
      </c>
      <c r="C371" s="52" t="inlineStr">
        <is>
          <t>Насос ЦНС 300/360…660 с торцевым уплотнением</t>
        </is>
      </c>
      <c r="D371" s="45" t="n"/>
      <c r="E371" s="18" t="n">
        <v>56207</v>
      </c>
      <c r="F371" s="18">
        <f>E371*D371</f>
        <v/>
      </c>
      <c r="G371" s="63" t="n"/>
      <c r="H371" s="11" t="n"/>
    </row>
    <row r="372" ht="12.75" customHeight="1">
      <c r="A372" s="11" t="n"/>
      <c r="B372" s="94" t="inlineStr">
        <is>
          <t>59</t>
        </is>
      </c>
      <c r="C372" s="52" t="inlineStr">
        <is>
          <t>Насос ЦНС 310-1510</t>
        </is>
      </c>
      <c r="D372" s="45" t="n"/>
      <c r="E372" s="18" t="n">
        <v>69539</v>
      </c>
      <c r="F372" s="18">
        <f>E372*D372</f>
        <v/>
      </c>
      <c r="G372" s="63" t="n"/>
      <c r="H372" s="11" t="n"/>
    </row>
    <row r="373" ht="25.5" customHeight="1">
      <c r="A373" s="11" t="n"/>
      <c r="B373" s="63" t="inlineStr">
        <is>
          <t>60</t>
        </is>
      </c>
      <c r="C373" s="52" t="inlineStr">
        <is>
          <t>Насос ЦНС 320-1350</t>
        </is>
      </c>
      <c r="D373" s="45" t="n"/>
      <c r="E373" s="18" t="n">
        <v>69539</v>
      </c>
      <c r="F373" s="18">
        <f>E373*D373</f>
        <v/>
      </c>
      <c r="G373" s="63" t="n"/>
      <c r="H373" s="11" t="n"/>
    </row>
    <row r="374" ht="12.75" customHeight="1">
      <c r="A374" s="11" t="n"/>
      <c r="B374" s="94" t="inlineStr">
        <is>
          <t>61</t>
        </is>
      </c>
      <c r="C374" s="52" t="inlineStr">
        <is>
          <t>Насос ЦНС 350-1650</t>
        </is>
      </c>
      <c r="D374" s="45" t="n"/>
      <c r="E374" s="18" t="n">
        <v>69539</v>
      </c>
      <c r="F374" s="18">
        <f>E374*D374</f>
        <v/>
      </c>
      <c r="G374" s="63" t="n"/>
      <c r="H374" s="11" t="n"/>
    </row>
    <row r="375" ht="12.75" customHeight="1">
      <c r="A375" s="11" t="n"/>
      <c r="B375" s="63" t="inlineStr">
        <is>
          <t>62</t>
        </is>
      </c>
      <c r="C375" s="77" t="inlineStr">
        <is>
          <t>Насос ЦНС 40/1400</t>
        </is>
      </c>
      <c r="D375" s="45" t="n"/>
      <c r="E375" s="18" t="n">
        <v>69539</v>
      </c>
      <c r="F375" s="18">
        <f>E375*D375</f>
        <v/>
      </c>
      <c r="G375" s="63" t="n"/>
      <c r="H375" s="11" t="n"/>
    </row>
    <row r="376" ht="12.75" customHeight="1">
      <c r="A376" s="11" t="n"/>
      <c r="B376" s="94" t="inlineStr">
        <is>
          <t>63</t>
        </is>
      </c>
      <c r="C376" s="77" t="inlineStr">
        <is>
          <t>Насос ЦНС-13/70…350</t>
        </is>
      </c>
      <c r="D376" s="45" t="n"/>
      <c r="E376" s="18" t="n">
        <v>38000</v>
      </c>
      <c r="F376" s="18">
        <f>E376*D376</f>
        <v/>
      </c>
      <c r="G376" s="63" t="n"/>
      <c r="H376" s="11" t="n"/>
    </row>
    <row r="377" ht="12.75" customHeight="1">
      <c r="A377" s="11" t="n"/>
      <c r="B377" s="63" t="inlineStr">
        <is>
          <t>64</t>
        </is>
      </c>
      <c r="C377" s="77" t="inlineStr">
        <is>
          <t>Насос ЦНС-13/70…350 с торцевым уплотнением</t>
        </is>
      </c>
      <c r="D377" s="45" t="n"/>
      <c r="E377" s="18" t="n">
        <v>38000</v>
      </c>
      <c r="F377" s="18">
        <f>E377*D377</f>
        <v/>
      </c>
      <c r="G377" s="63" t="n"/>
      <c r="H377" s="11" t="n"/>
    </row>
    <row r="378" ht="12.75" customHeight="1">
      <c r="A378" s="11" t="n"/>
      <c r="B378" s="94" t="inlineStr">
        <is>
          <t>65</t>
        </is>
      </c>
      <c r="C378" s="52" t="inlineStr">
        <is>
          <t>Насос ЦНС-38/44…220</t>
        </is>
      </c>
      <c r="D378" s="87" t="n"/>
      <c r="E378" s="87" t="n">
        <v>38000</v>
      </c>
      <c r="F378" s="18">
        <f>E378*D378</f>
        <v/>
      </c>
      <c r="G378" s="63" t="n"/>
      <c r="H378" s="11" t="n"/>
    </row>
    <row r="379" ht="18.75" customHeight="1">
      <c r="A379" s="11" t="n"/>
      <c r="B379" s="63" t="inlineStr">
        <is>
          <t>66</t>
        </is>
      </c>
      <c r="C379" s="52" t="inlineStr">
        <is>
          <t>Насос ЦНС-38/44…220 с торцевым уплотнением</t>
        </is>
      </c>
      <c r="D379" s="45" t="n"/>
      <c r="E379" s="45" t="n">
        <v>38000</v>
      </c>
      <c r="F379" s="18">
        <f>E379*D379</f>
        <v/>
      </c>
      <c r="G379" s="63" t="n"/>
      <c r="H379" s="11" t="n"/>
    </row>
    <row r="380" ht="34.5" customHeight="1">
      <c r="A380" s="11" t="n"/>
      <c r="B380" s="94" t="inlineStr">
        <is>
          <t>67</t>
        </is>
      </c>
      <c r="C380" s="52" t="inlineStr">
        <is>
          <t>Насос ЦНС-60/66…330</t>
        </is>
      </c>
      <c r="D380" s="45" t="n"/>
      <c r="E380" s="45" t="n">
        <v>38000</v>
      </c>
      <c r="F380" s="18">
        <f>E380*D380</f>
        <v/>
      </c>
      <c r="G380" s="63" t="n"/>
      <c r="H380" s="11" t="n"/>
    </row>
    <row r="381" ht="12.75" customHeight="1">
      <c r="A381" s="11" t="n"/>
      <c r="B381" s="63" t="inlineStr">
        <is>
          <t>68</t>
        </is>
      </c>
      <c r="C381" s="46" t="inlineStr">
        <is>
          <t>Насос ЦНС-60/66…330 с торцевым уплотнением</t>
        </is>
      </c>
      <c r="D381" s="45" t="n"/>
      <c r="E381" s="45" t="n">
        <v>38000</v>
      </c>
      <c r="F381" s="18">
        <f>E381*D381</f>
        <v/>
      </c>
      <c r="G381" s="63" t="n"/>
      <c r="H381" s="11" t="n"/>
    </row>
    <row r="382" ht="12.75" customHeight="1">
      <c r="A382" s="11" t="n"/>
      <c r="B382" s="94" t="inlineStr">
        <is>
          <t>69</t>
        </is>
      </c>
      <c r="C382" s="52" t="inlineStr">
        <is>
          <t xml:space="preserve">Насос ЦНС-63/1000...1900 </t>
        </is>
      </c>
      <c r="D382" s="45" t="n"/>
      <c r="E382" s="45" t="n">
        <v>69539</v>
      </c>
      <c r="F382" s="18">
        <f>E382*D382</f>
        <v/>
      </c>
      <c r="G382" s="63" t="n"/>
      <c r="H382" s="11" t="n"/>
    </row>
    <row r="383" ht="12.75" customHeight="1">
      <c r="A383" s="11" t="n"/>
      <c r="B383" s="63" t="inlineStr">
        <is>
          <t>70</t>
        </is>
      </c>
      <c r="C383" s="52" t="inlineStr">
        <is>
          <t xml:space="preserve">Насос ЦНС-90/1100...1900 </t>
        </is>
      </c>
      <c r="D383" s="45" t="n"/>
      <c r="E383" s="18" t="n">
        <v>69539</v>
      </c>
      <c r="F383" s="18">
        <f>E383*D383</f>
        <v/>
      </c>
      <c r="G383" s="63" t="n"/>
      <c r="H383" s="11" t="n"/>
    </row>
    <row r="384" ht="43.5" customHeight="1">
      <c r="A384" s="11" t="n"/>
      <c r="B384" s="94" t="inlineStr">
        <is>
          <t>71</t>
        </is>
      </c>
      <c r="C384" s="52" t="inlineStr">
        <is>
          <t>Насос шестеренный типа НМШ5-25-4,0/4; НМШ5-25-4,0/10; НМШ5-25-4,0/25; НМШ8-25-6,3/2,5; НМШ8-25-6,3/10; НМШ8-25-6,3/25, НШ 5/25</t>
        </is>
      </c>
      <c r="D384" s="45" t="n"/>
      <c r="E384" s="18" t="n">
        <v>7032</v>
      </c>
      <c r="F384" s="18">
        <f>E384*D384</f>
        <v/>
      </c>
      <c r="G384" s="63" t="n"/>
      <c r="H384" s="11" t="n"/>
    </row>
    <row r="385" hidden="1" ht="18" customHeight="1">
      <c r="A385" s="11" t="n"/>
      <c r="B385" s="63" t="inlineStr">
        <is>
          <t>72</t>
        </is>
      </c>
      <c r="C385" s="66" t="inlineStr">
        <is>
          <t>Поршневой компрессор К2</t>
        </is>
      </c>
      <c r="D385" s="64" t="n"/>
      <c r="E385" s="26" t="n">
        <v>31270</v>
      </c>
      <c r="F385" s="26">
        <f>E385*D385</f>
        <v/>
      </c>
      <c r="G385" s="63" t="n"/>
      <c r="H385" s="11" t="n"/>
    </row>
    <row r="386" ht="15" customHeight="1">
      <c r="A386" s="11" t="n"/>
      <c r="B386" s="85" t="inlineStr">
        <is>
          <t>ИТОГО:</t>
        </is>
      </c>
      <c r="D386" s="63" t="n"/>
      <c r="E386" s="63" t="n"/>
      <c r="F386" s="94">
        <f>SUM(F314:F385)</f>
        <v/>
      </c>
      <c r="G386" s="63" t="n"/>
      <c r="H386" s="11" t="n"/>
      <c r="K386" s="88" t="inlineStr">
        <is>
          <t xml:space="preserve"> </t>
        </is>
      </c>
    </row>
    <row r="387" ht="15" customHeight="1">
      <c r="A387" s="11" t="n"/>
      <c r="B387" s="90" t="inlineStr">
        <is>
          <t>ВСЕГО:</t>
        </is>
      </c>
      <c r="C387" s="11" t="n"/>
      <c r="D387" s="63" t="n"/>
      <c r="E387" s="63" t="n"/>
      <c r="F387" s="26">
        <f>F386+F312+F238+F164+F90</f>
        <v/>
      </c>
      <c r="G387" s="11" t="n"/>
      <c r="H387" s="94">
        <f>F386+F312+F238+F164+F90</f>
        <v/>
      </c>
    </row>
    <row r="388" ht="14.25" customHeight="1">
      <c r="A388" s="11" t="n"/>
      <c r="B388" s="90" t="inlineStr">
        <is>
          <t>НДС 22%</t>
        </is>
      </c>
      <c r="C388" s="11" t="n"/>
      <c r="D388" s="63" t="n"/>
      <c r="E388" s="63" t="n"/>
      <c r="F388" s="26">
        <f>F387*0.22</f>
        <v/>
      </c>
      <c r="G388" s="90" t="n"/>
      <c r="H388" s="11" t="n"/>
    </row>
    <row r="389" ht="13.5" customHeight="1">
      <c r="A389" s="11" t="n"/>
      <c r="B389" s="90" t="inlineStr">
        <is>
          <t>ВСЕГО с НДС</t>
        </is>
      </c>
      <c r="D389" s="63" t="n"/>
      <c r="E389" s="63" t="n"/>
      <c r="F389" s="26">
        <f>F387+F388</f>
        <v/>
      </c>
      <c r="G389" s="90" t="n"/>
      <c r="H389" s="11" t="n"/>
    </row>
    <row r="390" ht="9" customHeight="1">
      <c r="A390" s="11" t="n"/>
      <c r="B390" s="90" t="n"/>
      <c r="C390" s="90" t="n"/>
      <c r="D390" s="63" t="n"/>
      <c r="E390" s="63" t="n"/>
      <c r="F390" s="26" t="n"/>
      <c r="G390" s="90" t="n"/>
      <c r="H390" s="11" t="n"/>
    </row>
    <row r="391" ht="18" customHeight="1">
      <c r="A391" s="11" t="inlineStr">
        <is>
          <t xml:space="preserve">Итого по документу : </t>
        </is>
      </c>
      <c r="B391" s="11" t="n"/>
      <c r="C391" s="11" t="n"/>
      <c r="D391" s="63" t="n"/>
      <c r="E391" s="63" t="n"/>
      <c r="F391" s="26" t="n"/>
      <c r="G391" s="63" t="n"/>
      <c r="H391" s="11" t="n"/>
    </row>
    <row r="392" ht="24.75" customHeight="1">
      <c r="A392" s="11" t="inlineStr">
        <is>
          <t xml:space="preserve">в том числе НДС: </t>
        </is>
      </c>
      <c r="B392" s="11" t="n"/>
      <c r="C392" s="11" t="n"/>
      <c r="D392" s="63" t="n"/>
      <c r="E392" s="63" t="n"/>
      <c r="F392" s="26" t="n"/>
      <c r="G392" s="11" t="n"/>
      <c r="H392" s="11" t="n"/>
      <c r="J392" s="3" t="n"/>
    </row>
    <row r="393" ht="16.5" customFormat="1" customHeight="1" s="83">
      <c r="A393" s="11" t="inlineStr">
        <is>
          <t>ИСПОЛНИТЕЛЬ:</t>
        </is>
      </c>
      <c r="B393" s="11" t="n"/>
      <c r="C393" s="11" t="n"/>
      <c r="D393" s="90" t="n"/>
      <c r="E393" s="86" t="inlineStr">
        <is>
          <t>ЗАКАЗЧИК:</t>
        </is>
      </c>
      <c r="G393" s="88" t="n"/>
      <c r="H393" s="94" t="n"/>
      <c r="J393" s="3" t="n"/>
    </row>
    <row r="394" ht="29.25" customFormat="1" customHeight="1" s="83">
      <c r="A394" s="96" t="inlineStr">
        <is>
          <t xml:space="preserve">Генеральный директор 
</t>
        </is>
      </c>
      <c r="B394" s="71" t="n"/>
      <c r="C394" s="71" t="n"/>
      <c r="D394" s="88" t="n"/>
      <c r="E394" s="84" t="inlineStr">
        <is>
          <t>Руководитель ЦОП</t>
        </is>
      </c>
    </row>
    <row r="395" ht="18.75" customFormat="1" customHeight="1" s="83">
      <c r="A395" s="92" t="inlineStr">
        <is>
          <t>ООО "ЯмалСпецЦентр"</t>
        </is>
      </c>
      <c r="D395" s="79" t="n"/>
      <c r="E395" s="96" t="inlineStr">
        <is>
          <t xml:space="preserve">
АО "Газпромнефть-Ноябрьскнефтегаз"        </t>
        </is>
      </c>
    </row>
    <row r="396" ht="25.5" customFormat="1" customHeight="1" s="83">
      <c r="A396" s="88" t="inlineStr">
        <is>
          <t>_________________А.Г. Воронин</t>
        </is>
      </c>
      <c r="B396" s="72" t="n"/>
      <c r="C396" s="73" t="n"/>
      <c r="D396" s="80" t="n"/>
      <c r="E396" s="102" t="inlineStr">
        <is>
          <t>_________________ И.И. Исламов</t>
        </is>
      </c>
    </row>
    <row r="397" ht="22.5" customFormat="1" customHeight="1" s="83">
      <c r="A397" s="88" t="n"/>
      <c r="B397" s="98" t="inlineStr">
        <is>
          <t>М.П.</t>
        </is>
      </c>
      <c r="D397" s="81" t="n"/>
      <c r="E397" s="103" t="inlineStr">
        <is>
          <t>М.П.</t>
        </is>
      </c>
    </row>
    <row r="398" ht="45" customFormat="1" customHeight="1" s="83">
      <c r="A398" s="31" t="inlineStr">
        <is>
          <t>Дата подписания    31.01.2026 г.</t>
        </is>
      </c>
      <c r="B398" s="22" t="n"/>
      <c r="C398" s="73" t="n"/>
      <c r="D398" s="58" t="n"/>
      <c r="E398" s="97" t="inlineStr">
        <is>
          <t>Доверенность №  Д-396 от 17.10.2023 г.
Дата подписания   31.12.2025 г.</t>
        </is>
      </c>
    </row>
    <row r="399" ht="24" customFormat="1" customHeight="1" s="83">
      <c r="A399" s="90" t="inlineStr">
        <is>
          <t>СОГЛАСОВАНО:</t>
        </is>
      </c>
      <c r="D399" s="8" t="n"/>
      <c r="E399" s="93" t="inlineStr">
        <is>
          <t>СОГЛАСОВАНО:</t>
        </is>
      </c>
    </row>
    <row r="400" ht="30.75" customFormat="1" customHeight="1" s="83">
      <c r="A400" s="74" t="inlineStr">
        <is>
          <t>Начальник ПЭО</t>
        </is>
      </c>
      <c r="B400" s="75" t="n"/>
      <c r="C400" s="73" t="n"/>
      <c r="D400" s="8" t="n"/>
      <c r="E400" s="86" t="n"/>
    </row>
    <row r="401" ht="16.5" customFormat="1" customHeight="1" s="83">
      <c r="A401" s="105" t="inlineStr">
        <is>
          <t>________________А.С. Бойчук</t>
        </is>
      </c>
      <c r="B401" s="75" t="n"/>
      <c r="C401" s="73" t="n"/>
      <c r="D401" s="54" t="n"/>
      <c r="E401" s="8" t="n"/>
      <c r="F401" s="99" t="n"/>
      <c r="G401" s="99" t="n"/>
      <c r="H401" s="99" t="n"/>
    </row>
    <row r="402" ht="12.75" customFormat="1" customHeight="1" s="83">
      <c r="A402" s="11" t="n"/>
      <c r="B402" s="11" t="n"/>
      <c r="C402" s="49" t="n"/>
      <c r="D402" s="85" t="n"/>
      <c r="E402" s="95" t="n"/>
      <c r="H402" s="11" t="n"/>
    </row>
    <row r="403" ht="15.75" customFormat="1" customHeight="1" s="83">
      <c r="A403" s="11" t="n"/>
      <c r="B403" s="11" t="n"/>
      <c r="C403" s="11" t="n"/>
      <c r="D403" s="90" t="n"/>
      <c r="E403" s="94" t="n"/>
      <c r="G403" s="11" t="n"/>
      <c r="H403" s="11" t="n"/>
    </row>
    <row r="404" ht="15.75" customFormat="1" customHeight="1" s="83">
      <c r="B404" s="88" t="n"/>
      <c r="C404" s="88" t="n"/>
      <c r="D404" s="14" t="n"/>
      <c r="E404" s="104" t="n"/>
      <c r="G404" s="88" t="n"/>
    </row>
    <row r="405" ht="6" customHeight="1">
      <c r="B405" s="94" t="n"/>
      <c r="C405" s="87" t="n"/>
      <c r="D405" s="87" t="n"/>
      <c r="E405" s="3" t="n"/>
      <c r="F405" s="24" t="n"/>
      <c r="G405" s="24" t="n"/>
    </row>
    <row r="406" ht="12.75" customHeight="1">
      <c r="B406" s="94" t="n"/>
      <c r="C406" s="87" t="n"/>
      <c r="D406" s="87" t="n"/>
      <c r="E406" s="87" t="n"/>
      <c r="F406" s="87" t="n"/>
      <c r="G406" s="87" t="n"/>
    </row>
  </sheetData>
  <mergeCells count="32">
    <mergeCell ref="B389:C389"/>
    <mergeCell ref="E399:H399"/>
    <mergeCell ref="F13:F15"/>
    <mergeCell ref="B90:C90"/>
    <mergeCell ref="B165:C165"/>
    <mergeCell ref="E403:F403"/>
    <mergeCell ref="B238:C238"/>
    <mergeCell ref="E402:G402"/>
    <mergeCell ref="C13:C15"/>
    <mergeCell ref="E395:H395"/>
    <mergeCell ref="B2:C2"/>
    <mergeCell ref="E394:H394"/>
    <mergeCell ref="B5:C6"/>
    <mergeCell ref="A395:C395"/>
    <mergeCell ref="B312:C312"/>
    <mergeCell ref="B386:C386"/>
    <mergeCell ref="E400:G400"/>
    <mergeCell ref="E398:H398"/>
    <mergeCell ref="E393:F393"/>
    <mergeCell ref="B397:C397"/>
    <mergeCell ref="B239:C239"/>
    <mergeCell ref="E13:E15"/>
    <mergeCell ref="B313:C313"/>
    <mergeCell ref="B164:C164"/>
    <mergeCell ref="E396:I396"/>
    <mergeCell ref="B13:B15"/>
    <mergeCell ref="D13:D15"/>
    <mergeCell ref="A399:C399"/>
    <mergeCell ref="E397:H397"/>
    <mergeCell ref="E404:F404"/>
    <mergeCell ref="E2:H2"/>
    <mergeCell ref="E5:H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2026-10-23T10:02:30Z</dcterms:modified>
  <cp:lastModifiedBy>Фоменко Сергей Михайлович</cp:lastModifiedBy>
</cp:coreProperties>
</file>